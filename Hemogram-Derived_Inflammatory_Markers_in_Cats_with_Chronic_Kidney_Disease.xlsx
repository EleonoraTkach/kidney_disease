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eon\OneDrive\Documents\Диплом магистратура\"/>
    </mc:Choice>
  </mc:AlternateContent>
  <bookViews>
    <workbookView xWindow="0" yWindow="0" windowWidth="22992" windowHeight="6552" activeTab="1"/>
  </bookViews>
  <sheets>
    <sheet name="Control group" sheetId="1" r:id="rId1"/>
    <sheet name="IRIS 1+2" sheetId="2" r:id="rId2"/>
    <sheet name="IRIS 3+4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K9" i="3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K27" i="3" l="1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</calcChain>
</file>

<file path=xl/sharedStrings.xml><?xml version="1.0" encoding="utf-8"?>
<sst xmlns="http://schemas.openxmlformats.org/spreadsheetml/2006/main" count="221" uniqueCount="47">
  <si>
    <t>WBC</t>
  </si>
  <si>
    <t>neut</t>
  </si>
  <si>
    <t>lym</t>
  </si>
  <si>
    <t>mono</t>
  </si>
  <si>
    <t>PLT</t>
  </si>
  <si>
    <t>NLR</t>
  </si>
  <si>
    <t>MLR</t>
  </si>
  <si>
    <t>PLR</t>
  </si>
  <si>
    <t>SII</t>
  </si>
  <si>
    <t>eos</t>
  </si>
  <si>
    <t>baso</t>
  </si>
  <si>
    <t>luc</t>
  </si>
  <si>
    <t>RBC</t>
  </si>
  <si>
    <t>HGB</t>
  </si>
  <si>
    <t>HCT</t>
  </si>
  <si>
    <t>ret %</t>
  </si>
  <si>
    <t>ret</t>
  </si>
  <si>
    <t>Na (mmol/l)</t>
  </si>
  <si>
    <t>K (mmol/l)</t>
  </si>
  <si>
    <t>Cl (mmol/l)</t>
  </si>
  <si>
    <t>Ca (mmol/l)</t>
  </si>
  <si>
    <t>aP (mmol/l)</t>
  </si>
  <si>
    <t>AP (U/l)</t>
  </si>
  <si>
    <t>ALT (U/l)</t>
  </si>
  <si>
    <t>UPC</t>
  </si>
  <si>
    <t>k</t>
  </si>
  <si>
    <t>ž (s)</t>
  </si>
  <si>
    <t>s</t>
  </si>
  <si>
    <t>m</t>
  </si>
  <si>
    <t>m(k)</t>
  </si>
  <si>
    <t>ž(s)</t>
  </si>
  <si>
    <t>m (k)</t>
  </si>
  <si>
    <t xml:space="preserve">s </t>
  </si>
  <si>
    <t>SDMA(mikrog/dl)</t>
  </si>
  <si>
    <t>Age</t>
  </si>
  <si>
    <t>Weight (kg)</t>
  </si>
  <si>
    <t>BUN(mmol/l)</t>
  </si>
  <si>
    <t>Crea  (mikromol/l)</t>
  </si>
  <si>
    <t>TP</t>
  </si>
  <si>
    <t>ALB</t>
  </si>
  <si>
    <t>USG</t>
  </si>
  <si>
    <t>Patient No</t>
  </si>
  <si>
    <t>Iris stage</t>
  </si>
  <si>
    <t>Sex</t>
  </si>
  <si>
    <t>BUN (mmol/l)</t>
  </si>
  <si>
    <t>Crea (mikromol/l)</t>
  </si>
  <si>
    <t>IRIS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</si>
</sst>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[$-424]General"/>
    <numFmt numFmtId="166" formatCode="0.0"/>
    <numFmt numFmtId="167" formatCode="0.0000"/>
  </numFmts>
  <fonts count="7">
    <font>
      <sz val="11"/>
      <color theme="1"/>
      <name val="Aptos Narrow"/>
      <family val="2"/>
      <charset val="238"/>
      <scheme val="minor"/>
    </font>
    <font>
      <sz val="10"/>
      <color theme="1"/>
      <name val="Arial CE"/>
      <charset val="238"/>
    </font>
    <font>
      <sz val="10"/>
      <color rgb="FF339966"/>
      <name val="Arial CE1"/>
      <charset val="238"/>
    </font>
    <font>
      <sz val="10"/>
      <color rgb="FFFF0000"/>
      <name val="Arial CE1"/>
      <charset val="238"/>
    </font>
    <font>
      <sz val="11"/>
      <name val="Aptos Narrow"/>
      <family val="2"/>
      <charset val="238"/>
      <scheme val="minor"/>
    </font>
    <font>
      <sz val="10"/>
      <name val="Arial CE"/>
      <charset val="238"/>
    </font>
    <font>
      <sz val="10"/>
      <name val="Arial CE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5" fontId="1" fillId="0" borderId="0"/>
  </cellStyleXfs>
  <cellXfs count="25">
    <xf numFmtId="0" fontId="0" fillId="0" borderId="0" xfId="0"/>
    <xf numFmtId="2" fontId="0" fillId="0" borderId="2" xfId="0" applyNumberFormat="1" applyBorder="1"/>
    <xf numFmtId="165" fontId="1" fillId="0" borderId="0" xfId="1"/>
    <xf numFmtId="2" fontId="0" fillId="0" borderId="0" xfId="0" applyNumberFormat="1"/>
    <xf numFmtId="164" fontId="0" fillId="0" borderId="0" xfId="0" applyNumberFormat="1"/>
    <xf numFmtId="165" fontId="2" fillId="0" borderId="0" xfId="1" applyFont="1"/>
    <xf numFmtId="165" fontId="3" fillId="0" borderId="0" xfId="1" applyFont="1"/>
    <xf numFmtId="0" fontId="4" fillId="0" borderId="0" xfId="0" applyFont="1"/>
    <xf numFmtId="1" fontId="4" fillId="0" borderId="0" xfId="0" applyNumberFormat="1" applyFont="1"/>
    <xf numFmtId="2" fontId="4" fillId="0" borderId="0" xfId="0" applyNumberFormat="1" applyFont="1"/>
    <xf numFmtId="167" fontId="0" fillId="0" borderId="0" xfId="0" applyNumberFormat="1"/>
    <xf numFmtId="0" fontId="4" fillId="0" borderId="1" xfId="0" applyFont="1" applyBorder="1"/>
    <xf numFmtId="2" fontId="4" fillId="0" borderId="2" xfId="0" applyNumberFormat="1" applyFont="1" applyBorder="1"/>
    <xf numFmtId="166" fontId="4" fillId="0" borderId="2" xfId="0" applyNumberFormat="1" applyFont="1" applyBorder="1"/>
    <xf numFmtId="164" fontId="4" fillId="0" borderId="2" xfId="0" applyNumberFormat="1" applyFont="1" applyBorder="1"/>
    <xf numFmtId="165" fontId="5" fillId="0" borderId="0" xfId="1" applyFont="1"/>
    <xf numFmtId="2" fontId="5" fillId="0" borderId="0" xfId="1" applyNumberFormat="1" applyFont="1"/>
    <xf numFmtId="166" fontId="5" fillId="0" borderId="0" xfId="1" applyNumberFormat="1" applyFont="1"/>
    <xf numFmtId="166" fontId="4" fillId="0" borderId="0" xfId="0" applyNumberFormat="1" applyFont="1"/>
    <xf numFmtId="165" fontId="6" fillId="0" borderId="0" xfId="1" applyFont="1"/>
    <xf numFmtId="2" fontId="6" fillId="0" borderId="0" xfId="1" applyNumberFormat="1" applyFont="1"/>
    <xf numFmtId="166" fontId="6" fillId="0" borderId="0" xfId="1" applyNumberFormat="1" applyFont="1"/>
    <xf numFmtId="164" fontId="4" fillId="0" borderId="0" xfId="0" applyNumberFormat="1" applyFont="1"/>
    <xf numFmtId="164" fontId="5" fillId="0" borderId="0" xfId="1" applyNumberFormat="1" applyFont="1"/>
    <xf numFmtId="164" fontId="6" fillId="0" borderId="0" xfId="1" applyNumberFormat="1" applyFont="1"/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Views>
    <sheetView workbookViewId="0">
      <selection activeCell="E2" sqref="E2"/>
    </sheetView>
  </sheetViews>
  <sheetFormatPr defaultRowHeight="13.8"/>
  <cols>
    <col min="1" max="1" width="9.796875" bestFit="1" customWidth="1"/>
    <col min="2" max="2" width="9.796875" customWidth="1"/>
    <col min="4" max="4" width="9.59765625" bestFit="1" customWidth="1"/>
    <col min="5" max="5" width="9.09765625" bestFit="1" customWidth="1"/>
    <col min="6" max="6" width="10.59765625" bestFit="1" customWidth="1"/>
    <col min="7" max="7" width="11.59765625" bestFit="1" customWidth="1"/>
    <col min="9" max="9" width="10.796875" bestFit="1" customWidth="1"/>
  </cols>
  <sheetData>
    <row r="1" spans="1:35" ht="14.4" thickBot="1">
      <c r="A1" t="s">
        <v>41</v>
      </c>
      <c r="B1" s="12" t="s">
        <v>42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34</v>
      </c>
      <c r="I1" t="s">
        <v>43</v>
      </c>
      <c r="J1" t="s">
        <v>35</v>
      </c>
      <c r="K1" t="s">
        <v>0</v>
      </c>
      <c r="L1" t="s">
        <v>1</v>
      </c>
      <c r="M1" t="s">
        <v>2</v>
      </c>
      <c r="N1" t="s">
        <v>3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36</v>
      </c>
      <c r="AC1" t="s">
        <v>37</v>
      </c>
      <c r="AD1" t="s">
        <v>22</v>
      </c>
      <c r="AE1" t="s">
        <v>23</v>
      </c>
      <c r="AF1" t="s">
        <v>38</v>
      </c>
      <c r="AG1" t="s">
        <v>39</v>
      </c>
      <c r="AH1" t="s">
        <v>40</v>
      </c>
      <c r="AI1" t="s">
        <v>24</v>
      </c>
    </row>
    <row r="2" spans="1:35" ht="14.4" thickTop="1">
      <c r="A2">
        <v>1</v>
      </c>
      <c r="B2">
        <v>0</v>
      </c>
      <c r="C2">
        <v>232</v>
      </c>
      <c r="D2" s="4">
        <v>4.9519230769230775</v>
      </c>
      <c r="E2" s="4">
        <v>0.17307692307692307</v>
      </c>
      <c r="F2" s="4">
        <v>223.07692307692307</v>
      </c>
      <c r="G2" s="4">
        <v>1148.846153846154</v>
      </c>
      <c r="H2">
        <v>19</v>
      </c>
      <c r="I2" t="s">
        <v>26</v>
      </c>
      <c r="J2">
        <v>8</v>
      </c>
      <c r="K2" s="3">
        <v>6.73</v>
      </c>
      <c r="L2" s="3">
        <v>5.15</v>
      </c>
      <c r="M2" s="3">
        <v>1.04</v>
      </c>
      <c r="N2" s="3">
        <v>0.18</v>
      </c>
      <c r="O2" s="3">
        <v>0.36</v>
      </c>
      <c r="P2" s="3">
        <v>0.01</v>
      </c>
      <c r="Q2" s="3">
        <v>0</v>
      </c>
      <c r="R2" s="3">
        <v>9.4499999999999993</v>
      </c>
      <c r="S2" s="3">
        <v>128</v>
      </c>
      <c r="T2" s="3">
        <v>0.42</v>
      </c>
      <c r="U2" s="3"/>
      <c r="V2" s="3"/>
      <c r="W2" s="3">
        <v>152.9</v>
      </c>
      <c r="X2" s="3">
        <v>3.46</v>
      </c>
      <c r="Y2" s="3">
        <v>120.8</v>
      </c>
      <c r="Z2" s="3">
        <v>2.25</v>
      </c>
      <c r="AA2" s="3">
        <v>1.63</v>
      </c>
      <c r="AB2" s="3">
        <v>13.24</v>
      </c>
      <c r="AC2" s="3">
        <v>136.4</v>
      </c>
      <c r="AD2" s="3">
        <v>75.599999999999994</v>
      </c>
      <c r="AE2" s="3">
        <v>63.3</v>
      </c>
      <c r="AF2" s="3">
        <v>79.22</v>
      </c>
      <c r="AG2" s="3">
        <v>30.49</v>
      </c>
      <c r="AH2" s="4">
        <v>1.06</v>
      </c>
      <c r="AI2" s="4">
        <v>0.22159999999999999</v>
      </c>
    </row>
    <row r="3" spans="1:35">
      <c r="A3">
        <v>2</v>
      </c>
      <c r="B3">
        <v>0</v>
      </c>
      <c r="C3">
        <v>356</v>
      </c>
      <c r="D3" s="4">
        <v>0.88603988603988604</v>
      </c>
      <c r="E3" s="4">
        <v>7.9772079772079785E-2</v>
      </c>
      <c r="F3" s="4">
        <v>101.42450142450143</v>
      </c>
      <c r="G3" s="4">
        <v>315.43019943019942</v>
      </c>
      <c r="H3">
        <v>16</v>
      </c>
      <c r="I3" t="s">
        <v>27</v>
      </c>
      <c r="K3" s="3">
        <v>7.52</v>
      </c>
      <c r="L3" s="3">
        <v>3.11</v>
      </c>
      <c r="M3" s="3">
        <v>3.51</v>
      </c>
      <c r="N3" s="3">
        <v>0.28000000000000003</v>
      </c>
      <c r="O3" s="3">
        <v>0.6</v>
      </c>
      <c r="P3" s="3">
        <v>0</v>
      </c>
      <c r="Q3" s="3">
        <v>0.02</v>
      </c>
      <c r="R3" s="3">
        <v>11.48</v>
      </c>
      <c r="S3" s="3">
        <v>146</v>
      </c>
      <c r="T3" s="3">
        <v>0.5</v>
      </c>
      <c r="U3" s="3">
        <v>0.3</v>
      </c>
      <c r="V3" s="3">
        <v>1.4E-2</v>
      </c>
      <c r="W3" s="3"/>
      <c r="X3" s="3"/>
      <c r="Y3" s="3"/>
      <c r="Z3" s="3"/>
      <c r="AA3" s="3"/>
      <c r="AB3" s="3">
        <v>14.17</v>
      </c>
      <c r="AC3" s="3">
        <v>119.83</v>
      </c>
      <c r="AD3" s="3"/>
      <c r="AE3" s="3"/>
      <c r="AF3" s="3"/>
      <c r="AG3" s="3"/>
      <c r="AH3" s="4"/>
      <c r="AI3" s="4"/>
    </row>
    <row r="4" spans="1:35">
      <c r="A4">
        <v>3</v>
      </c>
      <c r="B4">
        <v>0</v>
      </c>
      <c r="C4">
        <v>294</v>
      </c>
      <c r="D4" s="4">
        <v>0.89090909090909098</v>
      </c>
      <c r="E4" s="4">
        <v>6.6666666666666666E-2</v>
      </c>
      <c r="F4" s="4">
        <v>178.18181818181819</v>
      </c>
      <c r="G4" s="4">
        <v>261.92727272727274</v>
      </c>
      <c r="H4">
        <v>14</v>
      </c>
      <c r="I4" t="s">
        <v>29</v>
      </c>
      <c r="J4">
        <v>5.6</v>
      </c>
      <c r="K4" s="3">
        <v>3.84</v>
      </c>
      <c r="L4" s="3">
        <v>1.47</v>
      </c>
      <c r="M4" s="3">
        <v>1.65</v>
      </c>
      <c r="N4" s="3">
        <v>0.11</v>
      </c>
      <c r="O4" s="3">
        <v>0.6</v>
      </c>
      <c r="P4" s="3">
        <v>0</v>
      </c>
      <c r="Q4" s="3">
        <v>0.01</v>
      </c>
      <c r="R4" s="3">
        <v>9.15</v>
      </c>
      <c r="S4" s="3">
        <v>115</v>
      </c>
      <c r="T4" s="3">
        <v>0.38</v>
      </c>
      <c r="U4" s="3"/>
      <c r="V4" s="3"/>
      <c r="W4" s="3">
        <v>157.69999999999999</v>
      </c>
      <c r="X4" s="3">
        <v>3.58</v>
      </c>
      <c r="Y4" s="3">
        <v>123.3</v>
      </c>
      <c r="Z4" s="3">
        <v>2.4300000000000002</v>
      </c>
      <c r="AA4" s="3">
        <v>1.48</v>
      </c>
      <c r="AB4" s="3">
        <v>8.33</v>
      </c>
      <c r="AC4" s="3">
        <v>134.1</v>
      </c>
      <c r="AD4" s="3">
        <v>24.1</v>
      </c>
      <c r="AE4" s="3">
        <v>34.5</v>
      </c>
      <c r="AF4" s="3">
        <v>65.8</v>
      </c>
      <c r="AG4" s="3">
        <v>31.57</v>
      </c>
      <c r="AH4" s="4"/>
      <c r="AI4" s="4"/>
    </row>
    <row r="5" spans="1:35">
      <c r="A5">
        <v>4</v>
      </c>
      <c r="B5">
        <v>0</v>
      </c>
      <c r="C5">
        <v>304</v>
      </c>
      <c r="D5" s="4">
        <v>1.9692307692307691</v>
      </c>
      <c r="E5" s="4">
        <v>7.6923076923076927E-2</v>
      </c>
      <c r="F5" s="4">
        <v>155.89743589743591</v>
      </c>
      <c r="G5" s="4">
        <v>598.64615384615377</v>
      </c>
      <c r="H5">
        <v>11</v>
      </c>
      <c r="I5" t="s">
        <v>30</v>
      </c>
      <c r="J5">
        <v>3.5</v>
      </c>
      <c r="K5" s="3">
        <v>6.64</v>
      </c>
      <c r="L5" s="3">
        <v>3.84</v>
      </c>
      <c r="M5" s="3">
        <v>1.95</v>
      </c>
      <c r="N5" s="3">
        <v>0.15</v>
      </c>
      <c r="O5" s="3">
        <v>0.69</v>
      </c>
      <c r="P5" s="3">
        <v>0</v>
      </c>
      <c r="Q5" s="3">
        <v>0</v>
      </c>
      <c r="R5" s="3">
        <v>9.17</v>
      </c>
      <c r="S5" s="3">
        <v>139</v>
      </c>
      <c r="T5" s="3">
        <v>0.45</v>
      </c>
      <c r="U5" s="3"/>
      <c r="V5" s="3"/>
      <c r="W5" s="3">
        <v>156.9</v>
      </c>
      <c r="X5" s="3">
        <v>4.54</v>
      </c>
      <c r="Y5" s="3">
        <v>123</v>
      </c>
      <c r="Z5" s="3">
        <v>2.56</v>
      </c>
      <c r="AA5" s="3">
        <v>1.05</v>
      </c>
      <c r="AB5" s="3">
        <v>9.25</v>
      </c>
      <c r="AC5" s="3">
        <v>125.25</v>
      </c>
      <c r="AD5" s="3">
        <v>20.7</v>
      </c>
      <c r="AE5" s="3">
        <v>46.7</v>
      </c>
      <c r="AF5" s="3">
        <v>80.84</v>
      </c>
      <c r="AG5" s="3">
        <v>32.83</v>
      </c>
      <c r="AH5" s="4">
        <v>1.07</v>
      </c>
      <c r="AI5" s="4">
        <v>6.6000000000000003E-2</v>
      </c>
    </row>
    <row r="6" spans="1:35">
      <c r="A6">
        <v>5</v>
      </c>
      <c r="B6">
        <v>0</v>
      </c>
      <c r="C6">
        <v>230</v>
      </c>
      <c r="D6" s="4">
        <v>0.85971223021582743</v>
      </c>
      <c r="E6" s="4">
        <v>5.7553956834532377E-2</v>
      </c>
      <c r="F6" s="4">
        <v>82.733812949640296</v>
      </c>
      <c r="G6" s="4">
        <v>197.73381294964031</v>
      </c>
      <c r="H6">
        <v>11</v>
      </c>
      <c r="I6" t="s">
        <v>29</v>
      </c>
      <c r="J6">
        <v>3.96</v>
      </c>
      <c r="K6" s="3">
        <v>5.59</v>
      </c>
      <c r="L6" s="3">
        <v>2.39</v>
      </c>
      <c r="M6" s="3">
        <v>2.78</v>
      </c>
      <c r="N6" s="3">
        <v>0.16</v>
      </c>
      <c r="O6" s="3">
        <v>0.24</v>
      </c>
      <c r="P6" s="3">
        <v>0</v>
      </c>
      <c r="Q6" s="3">
        <v>0</v>
      </c>
      <c r="R6" s="3">
        <v>8.17</v>
      </c>
      <c r="S6" s="3">
        <v>122</v>
      </c>
      <c r="T6" s="3">
        <v>0.4</v>
      </c>
      <c r="U6" s="3">
        <v>0.6</v>
      </c>
      <c r="V6" s="3"/>
      <c r="W6" s="3">
        <v>157.80000000000001</v>
      </c>
      <c r="X6" s="3">
        <v>4.04</v>
      </c>
      <c r="Y6" s="3">
        <v>121</v>
      </c>
      <c r="Z6" s="3">
        <v>2.69</v>
      </c>
      <c r="AA6" s="3">
        <v>1.19</v>
      </c>
      <c r="AB6" s="3">
        <v>9.35</v>
      </c>
      <c r="AC6" s="3">
        <v>135.30000000000001</v>
      </c>
      <c r="AD6" s="3">
        <v>9.4</v>
      </c>
      <c r="AE6" s="3">
        <v>43.6</v>
      </c>
      <c r="AF6" s="3">
        <v>79.33</v>
      </c>
      <c r="AG6" s="3">
        <v>32.520000000000003</v>
      </c>
      <c r="AH6" s="4">
        <v>1.07</v>
      </c>
      <c r="AI6" s="4">
        <v>0.11</v>
      </c>
    </row>
    <row r="7" spans="1:35">
      <c r="A7">
        <v>6</v>
      </c>
      <c r="B7">
        <v>0</v>
      </c>
      <c r="C7">
        <v>55</v>
      </c>
      <c r="D7" s="4">
        <v>0.97119341563785999</v>
      </c>
      <c r="E7" s="4">
        <v>3.2921810699588473E-2</v>
      </c>
      <c r="F7" s="4">
        <v>11.316872427983538</v>
      </c>
      <c r="G7" s="4">
        <v>53.415637860082292</v>
      </c>
      <c r="H7">
        <v>11</v>
      </c>
      <c r="I7" t="s">
        <v>25</v>
      </c>
      <c r="K7" s="3">
        <v>10.77</v>
      </c>
      <c r="L7" s="3">
        <v>4.72</v>
      </c>
      <c r="M7" s="3">
        <v>4.8600000000000003</v>
      </c>
      <c r="N7" s="3">
        <v>0.16</v>
      </c>
      <c r="O7" s="3">
        <v>1.02</v>
      </c>
      <c r="P7" s="3">
        <v>0</v>
      </c>
      <c r="Q7" s="3">
        <v>0.01</v>
      </c>
      <c r="R7" s="3">
        <v>8.2100000000000009</v>
      </c>
      <c r="S7" s="3">
        <v>124</v>
      </c>
      <c r="T7" s="3">
        <v>0.41</v>
      </c>
      <c r="U7" s="3">
        <v>0.2</v>
      </c>
      <c r="V7" s="3">
        <v>1.7000000000000001E-2</v>
      </c>
      <c r="W7" s="3"/>
      <c r="X7" s="3"/>
      <c r="Y7" s="3"/>
      <c r="Z7" s="3"/>
      <c r="AA7" s="3"/>
      <c r="AB7" s="3">
        <v>11.98</v>
      </c>
      <c r="AC7" s="3">
        <v>132</v>
      </c>
      <c r="AD7" s="3">
        <v>39.200000000000003</v>
      </c>
      <c r="AE7" s="3">
        <v>29.1</v>
      </c>
      <c r="AF7" s="3"/>
      <c r="AG7" s="3"/>
      <c r="AH7" s="4"/>
      <c r="AI7" s="4"/>
    </row>
    <row r="8" spans="1:35">
      <c r="A8">
        <v>7</v>
      </c>
      <c r="B8">
        <v>0</v>
      </c>
      <c r="C8">
        <v>285</v>
      </c>
      <c r="D8" s="4">
        <v>0.96428571428571441</v>
      </c>
      <c r="E8" s="4">
        <v>6.8452380952380959E-2</v>
      </c>
      <c r="F8" s="4">
        <v>84.821428571428569</v>
      </c>
      <c r="G8" s="4">
        <v>274.82142857142861</v>
      </c>
      <c r="H8">
        <v>10</v>
      </c>
      <c r="I8" t="s">
        <v>31</v>
      </c>
      <c r="J8">
        <v>4.9000000000000004</v>
      </c>
      <c r="K8" s="3">
        <v>7.07</v>
      </c>
      <c r="L8" s="3">
        <v>3.24</v>
      </c>
      <c r="M8" s="3">
        <v>3.36</v>
      </c>
      <c r="N8" s="3">
        <v>0.23</v>
      </c>
      <c r="O8" s="3">
        <v>0.2</v>
      </c>
      <c r="P8" s="3">
        <v>0.03</v>
      </c>
      <c r="Q8" s="3">
        <v>0</v>
      </c>
      <c r="R8" s="3">
        <v>7.05</v>
      </c>
      <c r="S8" s="3">
        <v>107</v>
      </c>
      <c r="T8" s="3">
        <v>0.33</v>
      </c>
      <c r="U8" s="3"/>
      <c r="V8" s="3"/>
      <c r="W8" s="3"/>
      <c r="X8" s="3"/>
      <c r="Y8" s="3"/>
      <c r="Z8" s="3">
        <v>2.5</v>
      </c>
      <c r="AA8" s="3">
        <v>1.55</v>
      </c>
      <c r="AB8" s="3">
        <v>10.210000000000001</v>
      </c>
      <c r="AC8" s="3">
        <v>121.35</v>
      </c>
      <c r="AD8" s="3">
        <v>21</v>
      </c>
      <c r="AE8" s="3">
        <v>141.1</v>
      </c>
      <c r="AF8" s="3">
        <v>76.099999999999994</v>
      </c>
      <c r="AG8" s="3">
        <v>35.49</v>
      </c>
      <c r="AH8" s="4"/>
      <c r="AI8" s="4"/>
    </row>
    <row r="9" spans="1:35">
      <c r="A9">
        <v>8</v>
      </c>
      <c r="B9">
        <v>0</v>
      </c>
      <c r="C9">
        <v>220</v>
      </c>
      <c r="D9" s="4">
        <v>2.2320675105485233</v>
      </c>
      <c r="E9" s="4">
        <v>0.18143459915611812</v>
      </c>
      <c r="F9" s="4">
        <v>92.827004219409275</v>
      </c>
      <c r="G9" s="4">
        <v>491.05485232067508</v>
      </c>
      <c r="H9">
        <v>10</v>
      </c>
      <c r="I9" t="s">
        <v>26</v>
      </c>
      <c r="J9">
        <v>6.96</v>
      </c>
      <c r="K9" s="3">
        <v>8.7200000000000006</v>
      </c>
      <c r="L9" s="3">
        <v>5.29</v>
      </c>
      <c r="M9" s="3">
        <v>2.37</v>
      </c>
      <c r="N9" s="3">
        <v>0.43</v>
      </c>
      <c r="O9" s="3">
        <v>0.57999999999999996</v>
      </c>
      <c r="P9" s="3">
        <v>0.05</v>
      </c>
      <c r="Q9" s="3">
        <v>0</v>
      </c>
      <c r="R9" s="3">
        <v>8.89</v>
      </c>
      <c r="S9" s="3">
        <v>119</v>
      </c>
      <c r="T9" s="3">
        <v>0.4</v>
      </c>
      <c r="U9" s="3"/>
      <c r="V9" s="3"/>
      <c r="W9" s="3"/>
      <c r="X9" s="3"/>
      <c r="Y9" s="3"/>
      <c r="Z9" s="3">
        <v>2.4500000000000002</v>
      </c>
      <c r="AA9" s="3">
        <v>1.6</v>
      </c>
      <c r="AB9" s="3">
        <v>9.65</v>
      </c>
      <c r="AC9" s="3">
        <v>133.80000000000001</v>
      </c>
      <c r="AD9" s="3">
        <v>37.9</v>
      </c>
      <c r="AE9" s="3">
        <v>43</v>
      </c>
      <c r="AF9" s="3">
        <v>72.400000000000006</v>
      </c>
      <c r="AG9" s="3">
        <v>33.909999999999997</v>
      </c>
      <c r="AH9" s="4">
        <v>1.034</v>
      </c>
      <c r="AI9" s="4">
        <v>0.13850000000000001</v>
      </c>
    </row>
    <row r="10" spans="1:35">
      <c r="A10">
        <v>9</v>
      </c>
      <c r="B10">
        <v>0</v>
      </c>
      <c r="C10">
        <v>580</v>
      </c>
      <c r="D10" s="4">
        <v>11.091954022988507</v>
      </c>
      <c r="E10" s="4">
        <v>0.41379310344827586</v>
      </c>
      <c r="F10" s="4">
        <v>666.66666666666663</v>
      </c>
      <c r="G10" s="4">
        <v>6433.333333333333</v>
      </c>
      <c r="H10">
        <v>10</v>
      </c>
      <c r="I10" t="s">
        <v>25</v>
      </c>
      <c r="K10" s="3">
        <v>11.34</v>
      </c>
      <c r="L10" s="3">
        <v>9.65</v>
      </c>
      <c r="M10" s="3">
        <v>0.87</v>
      </c>
      <c r="N10" s="3">
        <v>0.36</v>
      </c>
      <c r="O10" s="3">
        <v>0.42</v>
      </c>
      <c r="P10" s="3">
        <v>0</v>
      </c>
      <c r="Q10" s="3">
        <v>0.05</v>
      </c>
      <c r="R10" s="3">
        <v>6.58</v>
      </c>
      <c r="S10" s="3">
        <v>99</v>
      </c>
      <c r="T10" s="3">
        <v>0.33</v>
      </c>
      <c r="U10" s="3">
        <v>0.4</v>
      </c>
      <c r="V10" s="3">
        <v>2.9000000000000001E-2</v>
      </c>
      <c r="W10" s="3"/>
      <c r="X10" s="3"/>
      <c r="Y10" s="3"/>
      <c r="Z10" s="3">
        <v>2.2999999999999998</v>
      </c>
      <c r="AA10" s="3">
        <v>1.67</v>
      </c>
      <c r="AB10" s="3">
        <v>7.24</v>
      </c>
      <c r="AC10" s="3">
        <v>104.2</v>
      </c>
      <c r="AD10" s="3">
        <v>13.2</v>
      </c>
      <c r="AE10" s="3">
        <v>45.8</v>
      </c>
      <c r="AF10" s="3">
        <v>83.55</v>
      </c>
      <c r="AG10" s="3">
        <v>35.11</v>
      </c>
      <c r="AH10" s="4"/>
      <c r="AI10" s="4"/>
    </row>
    <row r="11" spans="1:35">
      <c r="A11">
        <v>10</v>
      </c>
      <c r="B11">
        <v>0</v>
      </c>
      <c r="C11">
        <v>233</v>
      </c>
      <c r="D11" s="4">
        <v>2.0320512820512819</v>
      </c>
      <c r="E11" s="4">
        <v>0.23717948717948717</v>
      </c>
      <c r="F11" s="4">
        <v>149.35897435897436</v>
      </c>
      <c r="G11" s="4">
        <v>473.46794871794873</v>
      </c>
      <c r="H11">
        <v>8</v>
      </c>
      <c r="I11" t="s">
        <v>31</v>
      </c>
      <c r="J11">
        <v>5.8</v>
      </c>
      <c r="K11" s="3">
        <v>5.17</v>
      </c>
      <c r="L11" s="3">
        <v>3.17</v>
      </c>
      <c r="M11" s="3">
        <v>1.56</v>
      </c>
      <c r="N11" s="3">
        <v>0.37</v>
      </c>
      <c r="O11" s="3">
        <v>0.03</v>
      </c>
      <c r="P11" s="3">
        <v>0.02</v>
      </c>
      <c r="Q11" s="3">
        <v>0.02</v>
      </c>
      <c r="R11" s="3">
        <v>9.36</v>
      </c>
      <c r="S11" s="3">
        <v>151</v>
      </c>
      <c r="T11" s="3">
        <v>0.48</v>
      </c>
      <c r="U11" s="3"/>
      <c r="V11" s="3"/>
      <c r="W11" s="3">
        <v>154.80000000000001</v>
      </c>
      <c r="X11" s="3">
        <v>5.0199999999999996</v>
      </c>
      <c r="Y11" s="3">
        <v>122.8</v>
      </c>
      <c r="Z11" s="3">
        <v>2.31</v>
      </c>
      <c r="AA11" s="3">
        <v>1.72</v>
      </c>
      <c r="AB11" s="3">
        <v>6.4</v>
      </c>
      <c r="AC11" s="3">
        <v>120.59</v>
      </c>
      <c r="AD11" s="3">
        <v>24.2</v>
      </c>
      <c r="AE11" s="3">
        <v>55.8</v>
      </c>
      <c r="AF11" s="3">
        <v>67.69</v>
      </c>
      <c r="AG11" s="3">
        <v>31.09</v>
      </c>
      <c r="AH11" s="4"/>
      <c r="AI11" s="4">
        <v>0.1154</v>
      </c>
    </row>
    <row r="12" spans="1:35">
      <c r="A12">
        <v>11</v>
      </c>
      <c r="B12">
        <v>0</v>
      </c>
      <c r="C12">
        <v>401</v>
      </c>
      <c r="D12" s="4">
        <v>2.4913419913419914</v>
      </c>
      <c r="E12" s="4">
        <v>9.9567099567099568E-2</v>
      </c>
      <c r="F12" s="4">
        <v>86.796536796536799</v>
      </c>
      <c r="G12" s="4">
        <v>999.02813852813858</v>
      </c>
      <c r="H12">
        <v>7</v>
      </c>
      <c r="I12" t="s">
        <v>26</v>
      </c>
      <c r="J12">
        <v>2.8</v>
      </c>
      <c r="K12" s="3">
        <v>17.420000000000002</v>
      </c>
      <c r="L12" s="3">
        <v>11.51</v>
      </c>
      <c r="M12" s="3">
        <v>4.62</v>
      </c>
      <c r="N12" s="3">
        <v>0.46</v>
      </c>
      <c r="O12" s="3">
        <v>0.78</v>
      </c>
      <c r="P12" s="3">
        <v>0.05</v>
      </c>
      <c r="Q12" s="3">
        <v>0</v>
      </c>
      <c r="R12" s="3"/>
      <c r="S12" s="3"/>
      <c r="T12" s="3"/>
      <c r="U12" s="3"/>
      <c r="V12" s="3"/>
      <c r="W12" s="3">
        <v>158.1</v>
      </c>
      <c r="X12" s="3">
        <v>5.33</v>
      </c>
      <c r="Y12" s="3">
        <v>124.1</v>
      </c>
      <c r="Z12" s="3">
        <v>2.2999999999999998</v>
      </c>
      <c r="AA12" s="3">
        <v>1.82</v>
      </c>
      <c r="AB12" s="3">
        <v>8.89</v>
      </c>
      <c r="AC12" s="3">
        <v>103.92</v>
      </c>
      <c r="AD12" s="3">
        <v>22.6</v>
      </c>
      <c r="AE12" s="3">
        <v>28.4</v>
      </c>
      <c r="AF12" s="3">
        <v>93.4</v>
      </c>
      <c r="AG12" s="3">
        <v>26.49</v>
      </c>
      <c r="AH12" s="4"/>
      <c r="AI12" s="4"/>
    </row>
    <row r="13" spans="1:35">
      <c r="A13">
        <v>12</v>
      </c>
      <c r="B13">
        <v>0</v>
      </c>
      <c r="C13">
        <v>345</v>
      </c>
      <c r="D13" s="4">
        <v>6.8354430379746836</v>
      </c>
      <c r="E13" s="4">
        <v>0.10126582278481013</v>
      </c>
      <c r="F13" s="4">
        <v>436.70886075949363</v>
      </c>
      <c r="G13" s="4">
        <v>2358.2278481012659</v>
      </c>
      <c r="H13">
        <v>7</v>
      </c>
      <c r="I13" t="s">
        <v>26</v>
      </c>
      <c r="J13">
        <v>3.8</v>
      </c>
      <c r="K13" s="3">
        <v>6.66</v>
      </c>
      <c r="L13" s="3">
        <v>5.4</v>
      </c>
      <c r="M13" s="3">
        <v>0.79</v>
      </c>
      <c r="N13" s="3">
        <v>0.08</v>
      </c>
      <c r="O13" s="3">
        <v>0.36</v>
      </c>
      <c r="P13" s="3">
        <v>0.01</v>
      </c>
      <c r="Q13" s="3">
        <v>0</v>
      </c>
      <c r="R13" s="3">
        <v>10.78</v>
      </c>
      <c r="S13" s="3">
        <v>137</v>
      </c>
      <c r="T13" s="3">
        <v>0.46</v>
      </c>
      <c r="U13" s="3"/>
      <c r="V13" s="3"/>
      <c r="W13" s="3">
        <v>142.30000000000001</v>
      </c>
      <c r="X13" s="3">
        <v>4.08</v>
      </c>
      <c r="Y13" s="3">
        <v>118.8</v>
      </c>
      <c r="Z13" s="3">
        <v>2.33</v>
      </c>
      <c r="AA13" s="3">
        <v>1.06</v>
      </c>
      <c r="AB13" s="3">
        <v>7.1</v>
      </c>
      <c r="AC13" s="3">
        <v>129</v>
      </c>
      <c r="AD13" s="3">
        <v>16.600000000000001</v>
      </c>
      <c r="AE13" s="3">
        <v>86.9</v>
      </c>
      <c r="AF13" s="3">
        <v>69.7</v>
      </c>
      <c r="AG13" s="3">
        <v>37</v>
      </c>
      <c r="AH13" s="4">
        <v>1.07</v>
      </c>
      <c r="AI13" s="4">
        <v>0.14599999999999999</v>
      </c>
    </row>
    <row r="14" spans="1:35">
      <c r="A14">
        <v>13</v>
      </c>
      <c r="B14">
        <v>0</v>
      </c>
      <c r="C14">
        <v>341</v>
      </c>
      <c r="D14" s="4">
        <v>1.9444444444444444</v>
      </c>
      <c r="E14" s="4">
        <v>6.9444444444444448E-2</v>
      </c>
      <c r="F14" s="4">
        <v>236.80555555555557</v>
      </c>
      <c r="G14" s="4">
        <v>663.05555555555554</v>
      </c>
      <c r="H14">
        <v>7</v>
      </c>
      <c r="I14" t="s">
        <v>27</v>
      </c>
      <c r="K14" s="3">
        <v>4.51</v>
      </c>
      <c r="L14" s="3">
        <v>2.8</v>
      </c>
      <c r="M14" s="3">
        <v>1.44</v>
      </c>
      <c r="N14" s="3">
        <v>0.1</v>
      </c>
      <c r="O14" s="3">
        <v>0.15</v>
      </c>
      <c r="P14" s="3">
        <v>0</v>
      </c>
      <c r="Q14" s="3">
        <v>0.01</v>
      </c>
      <c r="R14" s="3">
        <v>5.8</v>
      </c>
      <c r="S14" s="3">
        <v>91</v>
      </c>
      <c r="T14" s="3">
        <v>0.28000000000000003</v>
      </c>
      <c r="U14" s="3">
        <v>0.1</v>
      </c>
      <c r="V14" s="3">
        <v>6.0000000000000001E-3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  <c r="AI14" s="4"/>
    </row>
    <row r="15" spans="1:35">
      <c r="A15">
        <v>14</v>
      </c>
      <c r="B15">
        <v>0</v>
      </c>
      <c r="C15">
        <v>226</v>
      </c>
      <c r="D15" s="4">
        <v>1.1407624633431086</v>
      </c>
      <c r="E15" s="4">
        <v>9.9706744868035199E-2</v>
      </c>
      <c r="F15" s="4">
        <v>66.275659824046912</v>
      </c>
      <c r="G15" s="4">
        <v>257.81231671554252</v>
      </c>
      <c r="H15">
        <v>7</v>
      </c>
      <c r="I15" t="s">
        <v>25</v>
      </c>
      <c r="K15" s="3">
        <v>8.2200000000000006</v>
      </c>
      <c r="L15" s="3">
        <v>3.89</v>
      </c>
      <c r="M15" s="3">
        <v>3.41</v>
      </c>
      <c r="N15" s="3">
        <v>0.34</v>
      </c>
      <c r="O15" s="3">
        <v>0.51</v>
      </c>
      <c r="P15" s="3">
        <v>0.05</v>
      </c>
      <c r="Q15" s="3">
        <v>0.01</v>
      </c>
      <c r="R15" s="3">
        <v>9.1999999999999993</v>
      </c>
      <c r="S15" s="3">
        <v>135</v>
      </c>
      <c r="T15" s="3">
        <v>0.47</v>
      </c>
      <c r="U15" s="3">
        <v>0.2</v>
      </c>
      <c r="V15" s="3">
        <v>6.0000000000000001E-3</v>
      </c>
      <c r="W15" s="3"/>
      <c r="X15" s="3"/>
      <c r="Y15" s="3"/>
      <c r="Z15" s="3"/>
      <c r="AA15" s="3"/>
      <c r="AB15" s="3">
        <v>10.5</v>
      </c>
      <c r="AC15" s="3">
        <v>131.54</v>
      </c>
      <c r="AD15" s="3"/>
      <c r="AE15" s="3"/>
      <c r="AF15" s="3"/>
      <c r="AG15" s="3"/>
      <c r="AH15" s="4"/>
      <c r="AI15" s="4"/>
    </row>
    <row r="16" spans="1:35">
      <c r="A16">
        <v>15</v>
      </c>
      <c r="B16">
        <v>0</v>
      </c>
      <c r="C16">
        <v>165</v>
      </c>
      <c r="D16" s="4">
        <v>1.6866666666666665</v>
      </c>
      <c r="E16" s="4">
        <v>0.12666666666666668</v>
      </c>
      <c r="F16" s="4">
        <v>55</v>
      </c>
      <c r="G16" s="4">
        <v>278.3</v>
      </c>
      <c r="H16">
        <v>7</v>
      </c>
      <c r="I16" t="s">
        <v>25</v>
      </c>
      <c r="K16" s="3">
        <v>9.16</v>
      </c>
      <c r="L16" s="3">
        <v>5.0599999999999996</v>
      </c>
      <c r="M16" s="3">
        <v>3</v>
      </c>
      <c r="N16" s="3">
        <v>0.38</v>
      </c>
      <c r="O16" s="3">
        <v>0.63</v>
      </c>
      <c r="P16" s="3">
        <v>7.0000000000000007E-2</v>
      </c>
      <c r="Q16" s="3">
        <v>0.02</v>
      </c>
      <c r="R16" s="3">
        <v>8.24</v>
      </c>
      <c r="S16" s="3">
        <v>121</v>
      </c>
      <c r="T16" s="3">
        <v>0.4</v>
      </c>
      <c r="U16" s="3">
        <v>0.1</v>
      </c>
      <c r="V16" s="3">
        <v>1.0999999999999999E-2</v>
      </c>
      <c r="W16" s="3"/>
      <c r="X16" s="3"/>
      <c r="Y16" s="3"/>
      <c r="Z16" s="3"/>
      <c r="AA16" s="3"/>
      <c r="AB16" s="3">
        <v>12.62</v>
      </c>
      <c r="AC16" s="3">
        <v>142.1</v>
      </c>
      <c r="AD16" s="3"/>
      <c r="AE16" s="3"/>
      <c r="AF16" s="3"/>
      <c r="AG16" s="3"/>
      <c r="AH16" s="4"/>
      <c r="AI16" s="4"/>
    </row>
    <row r="17" spans="1:35">
      <c r="A17">
        <v>16</v>
      </c>
      <c r="B17">
        <v>0</v>
      </c>
      <c r="C17">
        <v>75</v>
      </c>
      <c r="D17" s="4">
        <v>0.87666666666666659</v>
      </c>
      <c r="E17" s="4">
        <v>7.3333333333333334E-2</v>
      </c>
      <c r="F17" s="4">
        <v>25</v>
      </c>
      <c r="G17" s="4">
        <v>65.75</v>
      </c>
      <c r="H17">
        <v>7</v>
      </c>
      <c r="I17" t="s">
        <v>27</v>
      </c>
      <c r="K17" s="3">
        <v>6.6</v>
      </c>
      <c r="L17" s="3">
        <v>2.63</v>
      </c>
      <c r="M17" s="3">
        <v>3</v>
      </c>
      <c r="N17" s="3">
        <v>0.22</v>
      </c>
      <c r="O17" s="3">
        <v>0.74</v>
      </c>
      <c r="P17" s="3">
        <v>0</v>
      </c>
      <c r="Q17" s="3">
        <v>0</v>
      </c>
      <c r="R17" s="3">
        <v>7.86</v>
      </c>
      <c r="S17" s="3">
        <v>123</v>
      </c>
      <c r="T17" s="3">
        <v>0.39</v>
      </c>
      <c r="U17" s="3">
        <v>0</v>
      </c>
      <c r="V17" s="3">
        <v>8.0000000000000002E-3</v>
      </c>
      <c r="W17" s="3"/>
      <c r="X17" s="3"/>
      <c r="Y17" s="3"/>
      <c r="Z17" s="3">
        <v>2.27</v>
      </c>
      <c r="AA17" s="3">
        <v>1.89</v>
      </c>
      <c r="AB17" s="3">
        <v>8.65</v>
      </c>
      <c r="AC17" s="3">
        <v>112.6</v>
      </c>
      <c r="AD17" s="3">
        <v>21.4</v>
      </c>
      <c r="AE17" s="3">
        <v>53.8</v>
      </c>
      <c r="AF17" s="3">
        <v>67.3</v>
      </c>
      <c r="AG17" s="3">
        <v>31.03</v>
      </c>
      <c r="AH17" s="4"/>
      <c r="AI17" s="4"/>
    </row>
    <row r="18" spans="1:35">
      <c r="A18">
        <v>17</v>
      </c>
      <c r="B18">
        <v>0</v>
      </c>
      <c r="C18">
        <v>338</v>
      </c>
      <c r="D18" s="4">
        <v>1.0672645739910314</v>
      </c>
      <c r="E18" s="4">
        <v>4.932735426008969E-2</v>
      </c>
      <c r="F18" s="4">
        <v>151.5695067264574</v>
      </c>
      <c r="G18" s="4">
        <v>360.7354260089686</v>
      </c>
      <c r="H18">
        <v>6</v>
      </c>
      <c r="I18" t="s">
        <v>31</v>
      </c>
      <c r="J18">
        <v>5.4</v>
      </c>
      <c r="K18" s="3">
        <v>5.01</v>
      </c>
      <c r="L18" s="3">
        <v>2.38</v>
      </c>
      <c r="M18" s="3">
        <v>2.23</v>
      </c>
      <c r="N18" s="3">
        <v>0.11</v>
      </c>
      <c r="O18" s="3">
        <v>0.28000000000000003</v>
      </c>
      <c r="P18" s="3">
        <v>0.01</v>
      </c>
      <c r="Q18" s="3">
        <v>0</v>
      </c>
      <c r="R18" s="3">
        <v>7.22</v>
      </c>
      <c r="S18" s="3">
        <v>111</v>
      </c>
      <c r="T18" s="3">
        <v>0.35</v>
      </c>
      <c r="U18" s="3"/>
      <c r="V18" s="3"/>
      <c r="W18" s="3">
        <v>156.9</v>
      </c>
      <c r="X18" s="3">
        <v>4.4400000000000004</v>
      </c>
      <c r="Y18" s="3">
        <v>121.8</v>
      </c>
      <c r="Z18" s="3">
        <v>2.41</v>
      </c>
      <c r="AA18" s="3">
        <v>1.18</v>
      </c>
      <c r="AB18" s="3">
        <v>7.88</v>
      </c>
      <c r="AC18" s="3">
        <v>134.77000000000001</v>
      </c>
      <c r="AD18" s="3"/>
      <c r="AE18" s="3">
        <v>53.1</v>
      </c>
      <c r="AF18" s="3">
        <v>84</v>
      </c>
      <c r="AG18" s="3">
        <v>35.229999999999997</v>
      </c>
      <c r="AH18" s="4"/>
      <c r="AI18" s="4"/>
    </row>
    <row r="19" spans="1:35">
      <c r="A19">
        <v>18</v>
      </c>
      <c r="B19">
        <v>0</v>
      </c>
      <c r="C19">
        <v>147</v>
      </c>
      <c r="D19" s="4">
        <v>1.7749999999999999</v>
      </c>
      <c r="E19" s="4">
        <v>0.16250000000000001</v>
      </c>
      <c r="F19" s="4">
        <v>61.25</v>
      </c>
      <c r="G19" s="4">
        <v>260.92499999999995</v>
      </c>
      <c r="H19">
        <v>6</v>
      </c>
      <c r="I19" t="s">
        <v>26</v>
      </c>
      <c r="J19">
        <v>5</v>
      </c>
      <c r="K19" s="3">
        <v>7.39</v>
      </c>
      <c r="L19" s="3">
        <v>4.26</v>
      </c>
      <c r="M19" s="3">
        <v>2.4</v>
      </c>
      <c r="N19" s="3">
        <v>0.39</v>
      </c>
      <c r="O19" s="3">
        <v>0.32</v>
      </c>
      <c r="P19" s="3">
        <v>0.01</v>
      </c>
      <c r="Q19" s="3">
        <v>0</v>
      </c>
      <c r="R19" s="3">
        <v>9.58</v>
      </c>
      <c r="S19" s="3">
        <v>132</v>
      </c>
      <c r="T19" s="3">
        <v>0.43</v>
      </c>
      <c r="U19" s="3">
        <v>0.2</v>
      </c>
      <c r="V19" s="3"/>
      <c r="W19" s="3">
        <v>151.6</v>
      </c>
      <c r="X19" s="3">
        <v>3.74</v>
      </c>
      <c r="Y19" s="3">
        <v>119.1</v>
      </c>
      <c r="Z19" s="3">
        <v>2.46</v>
      </c>
      <c r="AA19" s="3">
        <v>1.72</v>
      </c>
      <c r="AB19" s="3">
        <v>10.3</v>
      </c>
      <c r="AC19" s="3">
        <v>103.93</v>
      </c>
      <c r="AD19" s="3">
        <v>23.3</v>
      </c>
      <c r="AE19" s="3">
        <v>64.2</v>
      </c>
      <c r="AF19" s="3">
        <v>71.98</v>
      </c>
      <c r="AG19" s="3">
        <v>29.16</v>
      </c>
      <c r="AH19" s="4">
        <v>1.06</v>
      </c>
      <c r="AI19" s="4">
        <v>6.9800000000000001E-2</v>
      </c>
    </row>
    <row r="20" spans="1:35">
      <c r="A20">
        <v>19</v>
      </c>
      <c r="B20">
        <v>0</v>
      </c>
      <c r="C20">
        <v>278</v>
      </c>
      <c r="D20" s="4">
        <v>1.5583333333333336</v>
      </c>
      <c r="E20" s="4">
        <v>0.10833333333333334</v>
      </c>
      <c r="F20" s="4">
        <v>231.66666666666669</v>
      </c>
      <c r="G20" s="4">
        <v>433.2166666666667</v>
      </c>
      <c r="H20">
        <v>6</v>
      </c>
      <c r="I20" t="s">
        <v>25</v>
      </c>
      <c r="K20" s="3">
        <v>3.25</v>
      </c>
      <c r="L20" s="3">
        <v>1.87</v>
      </c>
      <c r="M20" s="3">
        <v>1.2</v>
      </c>
      <c r="N20" s="3">
        <v>0.13</v>
      </c>
      <c r="O20" s="3">
        <v>0.03</v>
      </c>
      <c r="P20" s="3">
        <v>0.01</v>
      </c>
      <c r="Q20" s="3">
        <v>0.02</v>
      </c>
      <c r="R20" s="3">
        <v>9.94</v>
      </c>
      <c r="S20" s="3">
        <v>138</v>
      </c>
      <c r="T20" s="3">
        <v>0.45</v>
      </c>
      <c r="U20" s="3">
        <v>0.3</v>
      </c>
      <c r="V20" s="3">
        <v>3.1E-2</v>
      </c>
      <c r="W20" s="3"/>
      <c r="X20" s="3"/>
      <c r="Y20" s="3"/>
      <c r="Z20" s="3"/>
      <c r="AA20" s="3"/>
      <c r="AB20" s="3">
        <v>8.1</v>
      </c>
      <c r="AC20" s="3">
        <v>139.63999999999999</v>
      </c>
      <c r="AD20" s="3"/>
      <c r="AE20" s="3"/>
      <c r="AF20" s="3"/>
      <c r="AG20" s="3"/>
      <c r="AH20" s="4"/>
      <c r="AI20" s="4"/>
    </row>
    <row r="21" spans="1:35">
      <c r="A21">
        <v>20</v>
      </c>
      <c r="B21">
        <v>0</v>
      </c>
      <c r="C21">
        <v>175</v>
      </c>
      <c r="D21" s="4">
        <v>2.4505494505494503</v>
      </c>
      <c r="E21" s="4">
        <v>4.3956043956043953E-2</v>
      </c>
      <c r="F21" s="4">
        <v>96.153846153846146</v>
      </c>
      <c r="G21" s="4">
        <v>428.84615384615381</v>
      </c>
      <c r="H21">
        <v>6</v>
      </c>
      <c r="I21" t="s">
        <v>27</v>
      </c>
      <c r="K21" s="3">
        <v>6.43</v>
      </c>
      <c r="L21" s="3">
        <v>4.46</v>
      </c>
      <c r="M21" s="3">
        <v>1.82</v>
      </c>
      <c r="N21" s="3">
        <v>0.08</v>
      </c>
      <c r="O21" s="3">
        <v>0.06</v>
      </c>
      <c r="P21" s="3">
        <v>0</v>
      </c>
      <c r="Q21" s="3">
        <v>0.01</v>
      </c>
      <c r="R21" s="3">
        <v>10.96</v>
      </c>
      <c r="S21" s="3">
        <v>146</v>
      </c>
      <c r="T21" s="3">
        <v>0.47</v>
      </c>
      <c r="U21" s="3">
        <v>1</v>
      </c>
      <c r="V21" s="3">
        <v>0.114</v>
      </c>
      <c r="W21" s="3"/>
      <c r="X21" s="3"/>
      <c r="Y21" s="3"/>
      <c r="Z21" s="3"/>
      <c r="AA21" s="3"/>
      <c r="AB21" s="3">
        <v>10.41</v>
      </c>
      <c r="AC21" s="3">
        <v>143.11000000000001</v>
      </c>
      <c r="AD21" s="3"/>
      <c r="AE21" s="3"/>
      <c r="AF21" s="3"/>
      <c r="AG21" s="3"/>
      <c r="AH21" s="4"/>
      <c r="AI21" s="4"/>
    </row>
    <row r="22" spans="1:35">
      <c r="A22">
        <v>21</v>
      </c>
      <c r="B22">
        <v>0</v>
      </c>
      <c r="C22">
        <v>418</v>
      </c>
      <c r="D22" s="4">
        <v>1.7216828478964403</v>
      </c>
      <c r="E22" s="4">
        <v>7.1197411003236247E-2</v>
      </c>
      <c r="F22" s="4">
        <v>135.27508090614887</v>
      </c>
      <c r="G22" s="4">
        <v>719.66343042071207</v>
      </c>
      <c r="H22">
        <v>6</v>
      </c>
      <c r="I22" t="s">
        <v>25</v>
      </c>
      <c r="K22" s="3">
        <v>8.98</v>
      </c>
      <c r="L22" s="3">
        <v>5.32</v>
      </c>
      <c r="M22" s="3">
        <v>3.09</v>
      </c>
      <c r="N22" s="3">
        <v>0.22</v>
      </c>
      <c r="O22" s="3">
        <v>0.33</v>
      </c>
      <c r="P22" s="3">
        <v>0</v>
      </c>
      <c r="Q22" s="3">
        <v>0.02</v>
      </c>
      <c r="R22" s="3">
        <v>7.27</v>
      </c>
      <c r="S22" s="3">
        <v>99</v>
      </c>
      <c r="T22" s="3">
        <v>0.32</v>
      </c>
      <c r="U22" s="3">
        <v>0.1</v>
      </c>
      <c r="V22" s="3">
        <v>2.5000000000000001E-2</v>
      </c>
      <c r="W22" s="3"/>
      <c r="X22" s="3"/>
      <c r="Y22" s="3"/>
      <c r="Z22" s="3"/>
      <c r="AA22" s="3"/>
      <c r="AB22" s="3">
        <v>10.55</v>
      </c>
      <c r="AC22" s="3">
        <v>140.1</v>
      </c>
      <c r="AD22" s="3"/>
      <c r="AE22" s="3"/>
      <c r="AF22" s="3"/>
      <c r="AG22" s="3"/>
      <c r="AH22" s="4"/>
      <c r="AI22" s="4"/>
    </row>
    <row r="23" spans="1:35">
      <c r="A23">
        <v>22</v>
      </c>
      <c r="B23">
        <v>0</v>
      </c>
      <c r="C23">
        <v>375</v>
      </c>
      <c r="D23" s="4">
        <v>3.3178807947019866</v>
      </c>
      <c r="E23" s="4">
        <v>0.15231788079470199</v>
      </c>
      <c r="F23" s="4">
        <v>248.34437086092714</v>
      </c>
      <c r="G23" s="4">
        <v>1244.2052980132451</v>
      </c>
      <c r="H23">
        <v>5</v>
      </c>
      <c r="I23" t="s">
        <v>31</v>
      </c>
      <c r="J23">
        <v>4.2</v>
      </c>
      <c r="K23" s="3">
        <v>7.2</v>
      </c>
      <c r="L23" s="3">
        <v>5.01</v>
      </c>
      <c r="M23" s="3">
        <v>1.51</v>
      </c>
      <c r="N23" s="3">
        <v>0.23</v>
      </c>
      <c r="O23" s="3">
        <v>0.43</v>
      </c>
      <c r="P23" s="3">
        <v>0.01</v>
      </c>
      <c r="Q23" s="3">
        <v>0</v>
      </c>
      <c r="R23" s="3">
        <v>9.07</v>
      </c>
      <c r="S23" s="3">
        <v>127</v>
      </c>
      <c r="T23" s="3">
        <v>0.41</v>
      </c>
      <c r="U23" s="3"/>
      <c r="V23" s="3"/>
      <c r="W23" s="3">
        <v>154.5</v>
      </c>
      <c r="X23" s="3">
        <v>4.49</v>
      </c>
      <c r="Y23" s="3">
        <v>120.9</v>
      </c>
      <c r="Z23" s="3">
        <v>2.29</v>
      </c>
      <c r="AA23" s="3">
        <v>1.29</v>
      </c>
      <c r="AB23" s="3">
        <v>11.38</v>
      </c>
      <c r="AC23" s="3">
        <v>140</v>
      </c>
      <c r="AD23" s="3">
        <v>20.2</v>
      </c>
      <c r="AE23" s="3">
        <v>61.6</v>
      </c>
      <c r="AF23" s="3">
        <v>74.599999999999994</v>
      </c>
      <c r="AG23" s="3">
        <v>32.74</v>
      </c>
      <c r="AH23" s="4"/>
      <c r="AI23" s="4"/>
    </row>
    <row r="24" spans="1:35">
      <c r="A24">
        <v>23</v>
      </c>
      <c r="B24">
        <v>0</v>
      </c>
      <c r="C24">
        <v>296</v>
      </c>
      <c r="D24" s="4">
        <v>1.8909774436090225</v>
      </c>
      <c r="E24" s="4">
        <v>5.6390977443609019E-2</v>
      </c>
      <c r="F24" s="4">
        <v>111.27819548872179</v>
      </c>
      <c r="G24" s="4">
        <v>559.72932330827064</v>
      </c>
      <c r="H24">
        <v>5</v>
      </c>
      <c r="I24" t="s">
        <v>25</v>
      </c>
      <c r="K24" s="3">
        <v>9.2200000000000006</v>
      </c>
      <c r="L24" s="3">
        <v>5.03</v>
      </c>
      <c r="M24" s="3">
        <v>2.66</v>
      </c>
      <c r="N24" s="3">
        <v>0.15</v>
      </c>
      <c r="O24" s="3">
        <v>1.35</v>
      </c>
      <c r="P24" s="3">
        <v>0.01</v>
      </c>
      <c r="Q24" s="3">
        <v>0.02</v>
      </c>
      <c r="R24" s="3">
        <v>7.18</v>
      </c>
      <c r="S24" s="3">
        <v>104</v>
      </c>
      <c r="T24" s="3">
        <v>0.35</v>
      </c>
      <c r="U24" s="3">
        <v>0.2</v>
      </c>
      <c r="V24" s="3">
        <v>1.7999999999999999E-2</v>
      </c>
      <c r="W24" s="3"/>
      <c r="X24" s="3"/>
      <c r="Y24" s="3"/>
      <c r="Z24" s="3"/>
      <c r="AA24" s="3"/>
      <c r="AB24" s="3">
        <v>11.84</v>
      </c>
      <c r="AC24" s="3">
        <v>135.1</v>
      </c>
      <c r="AD24" s="3"/>
      <c r="AE24" s="3"/>
      <c r="AF24" s="3"/>
      <c r="AG24" s="3"/>
      <c r="AH24" s="4"/>
      <c r="AI24" s="4"/>
    </row>
    <row r="25" spans="1:35">
      <c r="A25">
        <v>24</v>
      </c>
      <c r="B25">
        <v>0</v>
      </c>
      <c r="C25">
        <v>367</v>
      </c>
      <c r="D25" s="4">
        <v>1.7695852534562211</v>
      </c>
      <c r="E25" s="4">
        <v>0.11059907834101382</v>
      </c>
      <c r="F25" s="4">
        <v>169.12442396313364</v>
      </c>
      <c r="G25" s="4">
        <v>649.43778801843314</v>
      </c>
      <c r="H25">
        <v>5</v>
      </c>
      <c r="I25" t="s">
        <v>25</v>
      </c>
      <c r="K25" s="3">
        <v>6.51</v>
      </c>
      <c r="L25" s="3">
        <v>3.84</v>
      </c>
      <c r="M25" s="3">
        <v>2.17</v>
      </c>
      <c r="N25" s="3">
        <v>0.24</v>
      </c>
      <c r="O25" s="3">
        <v>0.17</v>
      </c>
      <c r="P25" s="3">
        <v>0.01</v>
      </c>
      <c r="Q25" s="3">
        <v>0.08</v>
      </c>
      <c r="R25" s="3">
        <v>4.47</v>
      </c>
      <c r="S25" s="3">
        <v>106</v>
      </c>
      <c r="T25" s="3">
        <v>0.32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  <c r="AI25" s="4"/>
    </row>
    <row r="26" spans="1:35">
      <c r="A26">
        <v>25</v>
      </c>
      <c r="B26">
        <v>0</v>
      </c>
      <c r="C26">
        <v>364</v>
      </c>
      <c r="D26" s="4">
        <v>3.1333333333333333</v>
      </c>
      <c r="E26" s="4">
        <v>0.13333333333333333</v>
      </c>
      <c r="F26" s="4">
        <v>151.66666666666669</v>
      </c>
      <c r="G26" s="4">
        <v>1140.5333333333333</v>
      </c>
      <c r="H26">
        <v>4.5</v>
      </c>
      <c r="I26" t="s">
        <v>31</v>
      </c>
      <c r="J26">
        <v>4.2</v>
      </c>
      <c r="K26" s="3">
        <v>10.68</v>
      </c>
      <c r="L26" s="3">
        <v>7.52</v>
      </c>
      <c r="M26" s="3">
        <v>2.4</v>
      </c>
      <c r="N26" s="3">
        <v>0.32</v>
      </c>
      <c r="O26" s="3">
        <v>0.43</v>
      </c>
      <c r="P26" s="3">
        <v>0.01</v>
      </c>
      <c r="Q26" s="3">
        <v>0</v>
      </c>
      <c r="R26" s="3">
        <v>8.7899999999999991</v>
      </c>
      <c r="S26" s="3">
        <v>135</v>
      </c>
      <c r="T26" s="3">
        <v>0.39</v>
      </c>
      <c r="U26" s="3"/>
      <c r="V26" s="3"/>
      <c r="W26" s="3"/>
      <c r="X26" s="3"/>
      <c r="Y26" s="3"/>
      <c r="Z26" s="3">
        <v>2.77</v>
      </c>
      <c r="AA26" s="3">
        <v>1.34</v>
      </c>
      <c r="AB26" s="3">
        <v>11.22</v>
      </c>
      <c r="AC26" s="3">
        <v>134.69999999999999</v>
      </c>
      <c r="AD26" s="3">
        <v>13.7</v>
      </c>
      <c r="AE26" s="3">
        <v>83</v>
      </c>
      <c r="AF26" s="3">
        <v>73.61</v>
      </c>
      <c r="AG26" s="3">
        <v>28.9</v>
      </c>
      <c r="AH26" s="4">
        <v>10.8</v>
      </c>
      <c r="AI26" s="4">
        <v>0.17399999999999999</v>
      </c>
    </row>
    <row r="27" spans="1:35">
      <c r="A27">
        <v>26</v>
      </c>
      <c r="B27">
        <v>0</v>
      </c>
      <c r="C27">
        <v>199</v>
      </c>
      <c r="D27" s="4">
        <v>1.522633744855967</v>
      </c>
      <c r="E27" s="4">
        <v>0.11934156378600821</v>
      </c>
      <c r="F27" s="4">
        <v>81.893004115226333</v>
      </c>
      <c r="G27" s="4">
        <v>303.00411522633743</v>
      </c>
      <c r="H27">
        <v>4.5</v>
      </c>
      <c r="I27" t="s">
        <v>26</v>
      </c>
      <c r="J27">
        <v>3.75</v>
      </c>
      <c r="K27" s="3">
        <v>6.73</v>
      </c>
      <c r="L27" s="3">
        <v>3.7</v>
      </c>
      <c r="M27" s="3">
        <v>2.4300000000000002</v>
      </c>
      <c r="N27" s="3">
        <v>0.28999999999999998</v>
      </c>
      <c r="O27" s="3">
        <v>0.28999999999999998</v>
      </c>
      <c r="P27" s="3">
        <v>0.03</v>
      </c>
      <c r="Q27" s="3">
        <v>0</v>
      </c>
      <c r="R27" s="3">
        <v>10.220000000000001</v>
      </c>
      <c r="S27" s="3">
        <v>146</v>
      </c>
      <c r="T27" s="3">
        <v>0.49</v>
      </c>
      <c r="U27" s="3"/>
      <c r="V27" s="3"/>
      <c r="W27" s="3">
        <v>150.9</v>
      </c>
      <c r="X27" s="3">
        <v>4.26</v>
      </c>
      <c r="Y27" s="3">
        <v>120.1</v>
      </c>
      <c r="Z27" s="3">
        <v>2.38</v>
      </c>
      <c r="AA27" s="3">
        <v>1.38</v>
      </c>
      <c r="AB27" s="3">
        <v>11.05</v>
      </c>
      <c r="AC27" s="3">
        <v>109.67</v>
      </c>
      <c r="AD27" s="3">
        <v>16.2</v>
      </c>
      <c r="AE27" s="3">
        <v>40</v>
      </c>
      <c r="AF27" s="3">
        <v>68.91</v>
      </c>
      <c r="AG27" s="3">
        <v>28.95</v>
      </c>
      <c r="AH27" s="4">
        <v>1.0649999999999999</v>
      </c>
      <c r="AI27" s="4">
        <v>0.14499999999999999</v>
      </c>
    </row>
    <row r="28" spans="1:35">
      <c r="A28">
        <v>27</v>
      </c>
      <c r="B28">
        <v>0</v>
      </c>
      <c r="C28">
        <v>175</v>
      </c>
      <c r="D28" s="4">
        <v>0.42408376963350791</v>
      </c>
      <c r="E28" s="4">
        <v>2.6178010471204192E-2</v>
      </c>
      <c r="F28" s="4">
        <v>45.811518324607334</v>
      </c>
      <c r="G28" s="4">
        <v>74.214659685863879</v>
      </c>
      <c r="H28">
        <v>4</v>
      </c>
      <c r="I28" t="s">
        <v>27</v>
      </c>
      <c r="K28" s="3">
        <v>6</v>
      </c>
      <c r="L28" s="3">
        <v>1.62</v>
      </c>
      <c r="M28" s="3">
        <v>3.82</v>
      </c>
      <c r="N28" s="3">
        <v>0.1</v>
      </c>
      <c r="O28" s="3">
        <v>0.45</v>
      </c>
      <c r="P28" s="3">
        <v>0</v>
      </c>
      <c r="Q28" s="3">
        <v>0.01</v>
      </c>
      <c r="R28" s="3">
        <v>9.8000000000000007</v>
      </c>
      <c r="S28" s="3">
        <v>138</v>
      </c>
      <c r="T28" s="3">
        <v>0.44</v>
      </c>
      <c r="U28" s="3">
        <v>0.4</v>
      </c>
      <c r="V28" s="3">
        <v>3.3000000000000002E-2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4"/>
      <c r="AI28" s="4"/>
    </row>
    <row r="29" spans="1:35">
      <c r="A29">
        <v>28</v>
      </c>
      <c r="B29">
        <v>0</v>
      </c>
      <c r="C29">
        <v>249</v>
      </c>
      <c r="D29" s="4">
        <v>0.90557939914163077</v>
      </c>
      <c r="E29" s="4">
        <v>6.8669527896995708E-2</v>
      </c>
      <c r="F29" s="4">
        <v>53.433476394849784</v>
      </c>
      <c r="G29" s="4">
        <v>225.48927038626607</v>
      </c>
      <c r="H29">
        <v>4</v>
      </c>
      <c r="I29" t="s">
        <v>25</v>
      </c>
      <c r="K29" s="3">
        <v>9.57</v>
      </c>
      <c r="L29" s="3">
        <v>4.22</v>
      </c>
      <c r="M29" s="3">
        <v>4.66</v>
      </c>
      <c r="N29" s="3">
        <v>0.32</v>
      </c>
      <c r="O29" s="3">
        <v>0.27</v>
      </c>
      <c r="P29" s="3">
        <v>0.01</v>
      </c>
      <c r="Q29" s="3">
        <v>0.09</v>
      </c>
      <c r="R29" s="3">
        <v>8.18</v>
      </c>
      <c r="S29" s="3">
        <v>132</v>
      </c>
      <c r="T29" s="3">
        <v>0.44</v>
      </c>
      <c r="U29" s="3">
        <v>0.2</v>
      </c>
      <c r="V29" s="3">
        <v>1.9E-2</v>
      </c>
      <c r="W29" s="3"/>
      <c r="X29" s="3"/>
      <c r="Y29" s="3"/>
      <c r="Z29" s="3"/>
      <c r="AA29" s="3"/>
      <c r="AB29" s="3">
        <v>7.2</v>
      </c>
      <c r="AC29" s="3">
        <v>107.8</v>
      </c>
      <c r="AD29" s="3"/>
      <c r="AE29" s="3"/>
      <c r="AF29" s="3"/>
      <c r="AG29" s="3"/>
    </row>
    <row r="30" spans="1:35">
      <c r="A30">
        <v>29</v>
      </c>
      <c r="B30">
        <v>0</v>
      </c>
      <c r="C30">
        <v>354</v>
      </c>
      <c r="D30" s="4">
        <v>0.53535353535353536</v>
      </c>
      <c r="E30" s="4">
        <v>9.0909090909090912E-2</v>
      </c>
      <c r="F30" s="4">
        <v>71.515151515151516</v>
      </c>
      <c r="G30" s="4">
        <v>189.5151515151515</v>
      </c>
      <c r="H30">
        <v>3</v>
      </c>
      <c r="I30" t="s">
        <v>26</v>
      </c>
      <c r="J30">
        <v>4.68</v>
      </c>
      <c r="K30" s="3">
        <v>8.74</v>
      </c>
      <c r="L30" s="3">
        <v>2.65</v>
      </c>
      <c r="M30" s="3">
        <v>4.95</v>
      </c>
      <c r="N30" s="3">
        <v>0.45</v>
      </c>
      <c r="O30" s="3">
        <v>0.66</v>
      </c>
      <c r="P30" s="3">
        <v>0.03</v>
      </c>
      <c r="Q30" s="3">
        <v>0</v>
      </c>
      <c r="R30" s="3">
        <v>8.52</v>
      </c>
      <c r="S30" s="3">
        <v>120</v>
      </c>
      <c r="T30" s="3">
        <v>0.41</v>
      </c>
      <c r="U30" s="3">
        <v>0.2</v>
      </c>
      <c r="V30" s="3"/>
      <c r="W30" s="3">
        <v>154.80000000000001</v>
      </c>
      <c r="X30" s="3">
        <v>5.01</v>
      </c>
      <c r="Y30" s="3">
        <v>123.1</v>
      </c>
      <c r="Z30" s="3">
        <v>2.5499999999999998</v>
      </c>
      <c r="AA30" s="3">
        <v>2.25</v>
      </c>
      <c r="AB30" s="3">
        <v>10.3</v>
      </c>
      <c r="AC30" s="3">
        <v>90.86</v>
      </c>
      <c r="AD30" s="3">
        <v>28.2</v>
      </c>
      <c r="AE30" s="3">
        <v>54.7</v>
      </c>
      <c r="AF30" s="3">
        <v>77.67</v>
      </c>
      <c r="AG30" s="3">
        <v>33.659999999999997</v>
      </c>
    </row>
    <row r="31" spans="1:35">
      <c r="A31">
        <v>30</v>
      </c>
      <c r="B31">
        <v>0</v>
      </c>
      <c r="C31">
        <v>279</v>
      </c>
      <c r="D31" s="4">
        <v>1.6511627906976742</v>
      </c>
      <c r="E31" s="4">
        <v>0.15503875968992248</v>
      </c>
      <c r="F31" s="4">
        <v>216.27906976744185</v>
      </c>
      <c r="G31" s="4">
        <v>460.67441860465112</v>
      </c>
      <c r="H31">
        <v>3</v>
      </c>
      <c r="I31" t="s">
        <v>27</v>
      </c>
      <c r="K31" s="3">
        <v>3.69</v>
      </c>
      <c r="L31" s="3">
        <v>2.13</v>
      </c>
      <c r="M31" s="3">
        <v>1.29</v>
      </c>
      <c r="N31" s="3">
        <v>0.2</v>
      </c>
      <c r="O31" s="3">
        <v>0.06</v>
      </c>
      <c r="P31" s="3">
        <v>0</v>
      </c>
      <c r="Q31" s="3">
        <v>0</v>
      </c>
      <c r="R31" s="3">
        <v>10.54</v>
      </c>
      <c r="S31" s="3">
        <v>143</v>
      </c>
      <c r="T31" s="3">
        <v>0.48</v>
      </c>
      <c r="U31" s="3">
        <v>0.3</v>
      </c>
      <c r="V31" s="3">
        <v>9.8000000000000004E-2</v>
      </c>
      <c r="W31" s="3"/>
      <c r="X31" s="3"/>
      <c r="Y31" s="3"/>
      <c r="Z31" s="3"/>
      <c r="AA31" s="3"/>
      <c r="AB31" s="3">
        <v>7.39</v>
      </c>
      <c r="AC31" s="3">
        <v>130</v>
      </c>
      <c r="AD31" s="3">
        <v>65.3</v>
      </c>
      <c r="AE31" s="3">
        <v>32.11</v>
      </c>
      <c r="AF31" s="3"/>
      <c r="AG31" s="3"/>
    </row>
    <row r="32" spans="1:35">
      <c r="A32">
        <v>31</v>
      </c>
      <c r="B32">
        <v>0</v>
      </c>
      <c r="C32">
        <v>275</v>
      </c>
      <c r="D32" s="4">
        <v>0.96335078534031426</v>
      </c>
      <c r="E32" s="4">
        <v>4.1884816753926704E-2</v>
      </c>
      <c r="F32" s="4">
        <v>143.97905759162305</v>
      </c>
      <c r="G32" s="4">
        <v>264.9214659685864</v>
      </c>
      <c r="H32">
        <v>3</v>
      </c>
      <c r="I32" t="s">
        <v>25</v>
      </c>
      <c r="K32" s="3">
        <v>3.96</v>
      </c>
      <c r="L32" s="3">
        <v>1.84</v>
      </c>
      <c r="M32" s="3">
        <v>1.91</v>
      </c>
      <c r="N32" s="3">
        <v>0.08</v>
      </c>
      <c r="O32" s="3">
        <v>0.12</v>
      </c>
      <c r="P32" s="3">
        <v>0</v>
      </c>
      <c r="Q32" s="3">
        <v>0</v>
      </c>
      <c r="R32" s="3">
        <v>9.56</v>
      </c>
      <c r="S32" s="3">
        <v>150</v>
      </c>
      <c r="T32" s="3">
        <v>0.48</v>
      </c>
      <c r="U32" s="3">
        <v>0.3</v>
      </c>
      <c r="V32" s="3">
        <v>0.03</v>
      </c>
      <c r="W32" s="3"/>
      <c r="X32" s="3"/>
      <c r="Y32" s="3"/>
      <c r="Z32" s="3"/>
      <c r="AA32" s="3"/>
      <c r="AB32" s="3">
        <v>8.59</v>
      </c>
      <c r="AC32" s="3">
        <v>127.62</v>
      </c>
      <c r="AD32" s="3"/>
      <c r="AE32" s="3"/>
      <c r="AF32" s="3">
        <v>75.53</v>
      </c>
      <c r="AG32" s="3"/>
    </row>
    <row r="33" spans="1:33">
      <c r="A33">
        <v>32</v>
      </c>
      <c r="B33">
        <v>0</v>
      </c>
      <c r="C33">
        <v>323</v>
      </c>
      <c r="D33" s="4">
        <v>1.8046511627906976</v>
      </c>
      <c r="E33" s="4">
        <v>0.10232558139534884</v>
      </c>
      <c r="F33" s="4">
        <v>150.23255813953489</v>
      </c>
      <c r="G33" s="4">
        <v>582.90232558139542</v>
      </c>
      <c r="H33">
        <v>3</v>
      </c>
      <c r="I33" t="s">
        <v>25</v>
      </c>
      <c r="K33" s="3">
        <v>6.54</v>
      </c>
      <c r="L33" s="3">
        <v>3.88</v>
      </c>
      <c r="M33" s="3">
        <v>2.15</v>
      </c>
      <c r="N33" s="3">
        <v>0.22</v>
      </c>
      <c r="O33" s="3">
        <v>0.27</v>
      </c>
      <c r="P33" s="3">
        <v>0</v>
      </c>
      <c r="Q33" s="3">
        <v>0.01</v>
      </c>
      <c r="R33" s="3">
        <v>8.4600000000000009</v>
      </c>
      <c r="S33" s="3">
        <v>125</v>
      </c>
      <c r="T33" s="3">
        <v>0.4</v>
      </c>
      <c r="U33" s="3">
        <v>0.2</v>
      </c>
      <c r="V33" s="3">
        <v>1.6E-2</v>
      </c>
      <c r="W33" s="3"/>
      <c r="X33" s="3"/>
      <c r="Y33" s="3"/>
      <c r="Z33" s="3"/>
      <c r="AA33" s="3"/>
      <c r="AB33" s="3">
        <v>10.28</v>
      </c>
      <c r="AC33" s="3">
        <v>148.1</v>
      </c>
      <c r="AD33" s="3"/>
      <c r="AE33" s="3"/>
      <c r="AF33" s="3"/>
      <c r="AG33" s="3"/>
    </row>
    <row r="34" spans="1:33">
      <c r="D34" s="10"/>
      <c r="E34" s="10"/>
      <c r="F34" s="10"/>
      <c r="G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D35" s="10"/>
      <c r="E35" s="10"/>
      <c r="F35" s="10"/>
      <c r="G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T69"/>
  <sheetViews>
    <sheetView tabSelected="1" workbookViewId="0">
      <pane xSplit="1" topLeftCell="Y1" activePane="topRight" state="frozen"/>
      <selection pane="topRight" activeCell="AC15" sqref="AB15:AC15"/>
    </sheetView>
  </sheetViews>
  <sheetFormatPr defaultRowHeight="13.8"/>
  <cols>
    <col min="1" max="8" width="9.296875" style="7" bestFit="1" customWidth="1"/>
    <col min="9" max="9" width="9.09765625" style="7"/>
    <col min="10" max="17" width="9.296875" style="7" bestFit="1" customWidth="1"/>
    <col min="18" max="18" width="9.296875" style="9" bestFit="1" customWidth="1"/>
    <col min="19" max="19" width="9.296875" style="18" bestFit="1" customWidth="1"/>
    <col min="20" max="36" width="9.296875" style="7" bestFit="1" customWidth="1"/>
  </cols>
  <sheetData>
    <row r="1" spans="1:956" ht="14.4" thickBot="1">
      <c r="A1" s="11" t="s">
        <v>41</v>
      </c>
      <c r="B1" s="12" t="s">
        <v>42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34</v>
      </c>
      <c r="I1" s="12" t="s">
        <v>43</v>
      </c>
      <c r="J1" s="12" t="s">
        <v>35</v>
      </c>
      <c r="K1" s="12" t="s">
        <v>0</v>
      </c>
      <c r="L1" s="12" t="s">
        <v>1</v>
      </c>
      <c r="M1" s="12" t="s">
        <v>2</v>
      </c>
      <c r="N1" s="12" t="s">
        <v>3</v>
      </c>
      <c r="O1" s="12" t="s">
        <v>9</v>
      </c>
      <c r="P1" s="12" t="s">
        <v>10</v>
      </c>
      <c r="Q1" s="12" t="s">
        <v>11</v>
      </c>
      <c r="R1" s="12" t="s">
        <v>12</v>
      </c>
      <c r="S1" s="13" t="s">
        <v>13</v>
      </c>
      <c r="T1" s="12" t="s">
        <v>14</v>
      </c>
      <c r="U1" s="12" t="s">
        <v>15</v>
      </c>
      <c r="V1" s="14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44</v>
      </c>
      <c r="AC1" s="12" t="s">
        <v>45</v>
      </c>
      <c r="AD1" s="12" t="s">
        <v>22</v>
      </c>
      <c r="AE1" s="12" t="s">
        <v>23</v>
      </c>
      <c r="AF1" s="12" t="s">
        <v>38</v>
      </c>
      <c r="AG1" s="12" t="s">
        <v>39</v>
      </c>
      <c r="AH1" s="14" t="s">
        <v>40</v>
      </c>
      <c r="AI1" s="12" t="s">
        <v>24</v>
      </c>
      <c r="AJ1" s="7" t="s">
        <v>33</v>
      </c>
    </row>
    <row r="2" spans="1:956" ht="14.4" thickTop="1">
      <c r="A2" s="15">
        <v>1</v>
      </c>
      <c r="B2" s="15">
        <v>2</v>
      </c>
      <c r="C2" s="15">
        <v>256</v>
      </c>
      <c r="D2" s="9">
        <f>L2/M2</f>
        <v>3</v>
      </c>
      <c r="E2" s="9">
        <f>N2/M2</f>
        <v>7.8703703703703706E-2</v>
      </c>
      <c r="F2" s="9">
        <f t="shared" ref="F2:F33" si="0">C2/M2</f>
        <v>118.5185185185185</v>
      </c>
      <c r="G2" s="9">
        <f t="shared" ref="G2:G33" si="1">C2*L2/M2</f>
        <v>768</v>
      </c>
      <c r="H2" s="15">
        <v>11</v>
      </c>
      <c r="I2" s="15" t="s">
        <v>26</v>
      </c>
      <c r="J2" s="9">
        <v>3.05</v>
      </c>
      <c r="K2" s="9">
        <v>10.25</v>
      </c>
      <c r="L2" s="9">
        <v>6.48</v>
      </c>
      <c r="M2" s="9">
        <v>2.16</v>
      </c>
      <c r="N2" s="9">
        <v>0.17</v>
      </c>
      <c r="O2" s="9">
        <v>1.43</v>
      </c>
      <c r="P2" s="9">
        <v>0</v>
      </c>
      <c r="Q2" s="9">
        <v>0</v>
      </c>
      <c r="R2" s="16">
        <v>7.88</v>
      </c>
      <c r="S2" s="17">
        <v>104</v>
      </c>
      <c r="T2" s="15">
        <v>0.34</v>
      </c>
      <c r="U2" s="15">
        <v>0.4</v>
      </c>
      <c r="V2" s="15">
        <v>2.8000000000000001E-2</v>
      </c>
      <c r="W2" s="15">
        <v>158.9</v>
      </c>
      <c r="X2" s="15">
        <v>4.92</v>
      </c>
      <c r="Y2" s="15">
        <v>122.1</v>
      </c>
      <c r="Z2" s="15">
        <v>2.71</v>
      </c>
      <c r="AA2" s="15">
        <v>1.46</v>
      </c>
      <c r="AB2" s="15">
        <v>12.63</v>
      </c>
      <c r="AC2" s="15">
        <v>178.77</v>
      </c>
      <c r="AD2" s="15">
        <v>24.3</v>
      </c>
      <c r="AE2" s="15">
        <v>49.8</v>
      </c>
      <c r="AF2" s="15">
        <v>73.239999999999995</v>
      </c>
      <c r="AG2" s="15">
        <v>31.81</v>
      </c>
      <c r="AH2" s="15">
        <v>1.0720000000000001</v>
      </c>
      <c r="AI2" s="15">
        <v>0.1</v>
      </c>
      <c r="AJ2" s="7">
        <v>17</v>
      </c>
    </row>
    <row r="3" spans="1:956">
      <c r="A3" s="15">
        <v>2</v>
      </c>
      <c r="B3" s="15">
        <v>2</v>
      </c>
      <c r="C3" s="15">
        <v>112</v>
      </c>
      <c r="D3" s="9">
        <f t="shared" ref="D3:D63" si="2">L3/M3</f>
        <v>6.9358974358974361</v>
      </c>
      <c r="E3" s="9">
        <f t="shared" ref="E3:E63" si="3">N3/M3</f>
        <v>0.33333333333333331</v>
      </c>
      <c r="F3" s="9">
        <f t="shared" si="0"/>
        <v>143.58974358974359</v>
      </c>
      <c r="G3" s="9">
        <f t="shared" si="1"/>
        <v>776.82051282051293</v>
      </c>
      <c r="H3" s="15"/>
      <c r="I3" s="7" t="s">
        <v>30</v>
      </c>
      <c r="J3" s="9">
        <v>3.3</v>
      </c>
      <c r="K3" s="9">
        <v>7.13</v>
      </c>
      <c r="L3" s="9">
        <v>5.41</v>
      </c>
      <c r="M3" s="9">
        <v>0.78</v>
      </c>
      <c r="N3" s="9">
        <v>0.26</v>
      </c>
      <c r="O3" s="9">
        <v>0.63</v>
      </c>
      <c r="P3" s="9">
        <v>0.04</v>
      </c>
      <c r="Q3" s="9">
        <v>0.03</v>
      </c>
      <c r="R3" s="16">
        <v>7.6</v>
      </c>
      <c r="S3" s="17">
        <v>111</v>
      </c>
      <c r="T3" s="15">
        <v>0.35</v>
      </c>
      <c r="U3" s="15">
        <v>0.3</v>
      </c>
      <c r="V3" s="15">
        <v>2.1999999999999999E-2</v>
      </c>
      <c r="W3" s="15">
        <v>155.9</v>
      </c>
      <c r="X3" s="15">
        <v>5.51</v>
      </c>
      <c r="Y3" s="15">
        <v>119.9</v>
      </c>
      <c r="Z3" s="15">
        <v>2.83</v>
      </c>
      <c r="AA3" s="15">
        <v>1.43</v>
      </c>
      <c r="AB3" s="15">
        <v>21.9</v>
      </c>
      <c r="AC3" s="15">
        <v>242.3</v>
      </c>
      <c r="AD3" s="15">
        <v>17.600000000000001</v>
      </c>
      <c r="AE3" s="15">
        <v>65.400000000000006</v>
      </c>
      <c r="AF3" s="15">
        <v>70.7</v>
      </c>
      <c r="AG3" s="15">
        <v>31.4</v>
      </c>
      <c r="AH3" s="15">
        <v>1.03</v>
      </c>
      <c r="AI3" s="15">
        <v>0.14199999999999999</v>
      </c>
      <c r="AJ3" s="15">
        <v>21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</row>
    <row r="4" spans="1:956">
      <c r="A4" s="15">
        <v>3</v>
      </c>
      <c r="B4" s="15">
        <v>2</v>
      </c>
      <c r="C4" s="15">
        <v>388</v>
      </c>
      <c r="D4" s="9">
        <f t="shared" si="2"/>
        <v>5.9939024390243905</v>
      </c>
      <c r="E4" s="9">
        <f t="shared" si="3"/>
        <v>4.878048780487805E-2</v>
      </c>
      <c r="F4" s="9">
        <f t="shared" si="0"/>
        <v>236.58536585365854</v>
      </c>
      <c r="G4" s="9">
        <f t="shared" si="1"/>
        <v>2325.6341463414637</v>
      </c>
      <c r="H4" s="15">
        <v>17</v>
      </c>
      <c r="I4" s="15" t="s">
        <v>29</v>
      </c>
      <c r="J4" s="9">
        <v>3.17</v>
      </c>
      <c r="K4" s="9">
        <v>11.56</v>
      </c>
      <c r="L4" s="9">
        <v>9.83</v>
      </c>
      <c r="M4" s="9">
        <v>1.64</v>
      </c>
      <c r="N4" s="9">
        <v>0.08</v>
      </c>
      <c r="O4" s="9">
        <v>0</v>
      </c>
      <c r="P4" s="9">
        <v>0.01</v>
      </c>
      <c r="Q4" s="9">
        <v>0.01</v>
      </c>
      <c r="R4" s="16">
        <v>5.31</v>
      </c>
      <c r="S4" s="17">
        <v>79</v>
      </c>
      <c r="T4" s="15">
        <v>0.23</v>
      </c>
      <c r="U4" s="15">
        <v>0.1</v>
      </c>
      <c r="V4" s="15">
        <v>5.0000000000000001E-3</v>
      </c>
      <c r="W4" s="15">
        <v>158.80000000000001</v>
      </c>
      <c r="X4" s="15">
        <v>4.6500000000000004</v>
      </c>
      <c r="Y4" s="15">
        <v>128.19999999999999</v>
      </c>
      <c r="Z4" s="15">
        <v>2.12</v>
      </c>
      <c r="AA4" s="15">
        <v>1.73</v>
      </c>
      <c r="AB4" s="15">
        <v>16.2</v>
      </c>
      <c r="AC4" s="15">
        <v>163.4</v>
      </c>
      <c r="AD4" s="15">
        <v>21.7</v>
      </c>
      <c r="AE4" s="15">
        <v>15.5</v>
      </c>
      <c r="AF4" s="15">
        <v>53.56</v>
      </c>
      <c r="AG4" s="15">
        <v>19.739999999999998</v>
      </c>
      <c r="AH4" s="15">
        <v>1.02</v>
      </c>
      <c r="AI4" s="15">
        <v>0.44800000000000001</v>
      </c>
      <c r="AJ4" s="15">
        <v>28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</row>
    <row r="5" spans="1:956">
      <c r="A5" s="15">
        <v>4</v>
      </c>
      <c r="B5" s="15">
        <v>2</v>
      </c>
      <c r="C5" s="15">
        <v>133</v>
      </c>
      <c r="D5" s="9">
        <f t="shared" si="2"/>
        <v>1.1739130434782608</v>
      </c>
      <c r="E5" s="9">
        <f t="shared" si="3"/>
        <v>3.0100334448160532E-2</v>
      </c>
      <c r="F5" s="9">
        <f t="shared" si="0"/>
        <v>44.481605351170565</v>
      </c>
      <c r="G5" s="9">
        <f t="shared" si="1"/>
        <v>156.13043478260869</v>
      </c>
      <c r="H5" s="15">
        <v>7</v>
      </c>
      <c r="I5" s="7" t="s">
        <v>30</v>
      </c>
      <c r="J5" s="9">
        <v>4.37</v>
      </c>
      <c r="K5" s="9">
        <v>7.15</v>
      </c>
      <c r="L5" s="9">
        <v>3.51</v>
      </c>
      <c r="M5" s="9">
        <v>2.99</v>
      </c>
      <c r="N5" s="9">
        <v>0.09</v>
      </c>
      <c r="O5" s="9">
        <v>0.51</v>
      </c>
      <c r="P5" s="9">
        <v>0.04</v>
      </c>
      <c r="Q5" s="9">
        <v>0</v>
      </c>
      <c r="R5" s="16">
        <v>9.36</v>
      </c>
      <c r="S5" s="17">
        <v>121</v>
      </c>
      <c r="T5" s="15">
        <v>0.39</v>
      </c>
      <c r="U5" s="15">
        <v>0.3</v>
      </c>
      <c r="V5" s="15">
        <v>3.2000000000000001E-2</v>
      </c>
      <c r="W5" s="15">
        <v>165.4</v>
      </c>
      <c r="X5" s="15">
        <v>4.16</v>
      </c>
      <c r="Y5" s="15">
        <v>126.3</v>
      </c>
      <c r="Z5" s="15">
        <v>2.59</v>
      </c>
      <c r="AA5" s="15">
        <v>1.32</v>
      </c>
      <c r="AB5" s="15">
        <v>30.9</v>
      </c>
      <c r="AC5" s="15">
        <v>173.2</v>
      </c>
      <c r="AD5" s="15">
        <v>30.9</v>
      </c>
      <c r="AE5" s="15">
        <v>55.2</v>
      </c>
      <c r="AF5" s="15">
        <v>81.62</v>
      </c>
      <c r="AG5" s="15">
        <v>36.6</v>
      </c>
      <c r="AH5" s="15">
        <v>1.0429999999999999</v>
      </c>
      <c r="AI5" s="15">
        <v>0.14000000000000001</v>
      </c>
      <c r="AJ5" s="15">
        <v>14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</row>
    <row r="6" spans="1:956">
      <c r="A6" s="15">
        <v>5</v>
      </c>
      <c r="B6" s="15">
        <v>2</v>
      </c>
      <c r="C6" s="15">
        <v>311</v>
      </c>
      <c r="D6" s="9">
        <f t="shared" si="2"/>
        <v>1.6009732360097322</v>
      </c>
      <c r="E6" s="9">
        <f t="shared" si="3"/>
        <v>4.6228710462287104E-2</v>
      </c>
      <c r="F6" s="9">
        <f t="shared" si="0"/>
        <v>75.669099756690997</v>
      </c>
      <c r="G6" s="9">
        <f t="shared" si="1"/>
        <v>497.90267639902675</v>
      </c>
      <c r="H6" s="15">
        <v>14</v>
      </c>
      <c r="I6" s="15" t="s">
        <v>29</v>
      </c>
      <c r="J6" s="9">
        <v>5.2</v>
      </c>
      <c r="K6" s="9">
        <v>11.29</v>
      </c>
      <c r="L6" s="9">
        <v>6.58</v>
      </c>
      <c r="M6" s="9">
        <v>4.1100000000000003</v>
      </c>
      <c r="N6" s="9">
        <v>0.19</v>
      </c>
      <c r="O6" s="9">
        <v>0.4</v>
      </c>
      <c r="P6" s="9">
        <v>0</v>
      </c>
      <c r="Q6" s="9">
        <v>0</v>
      </c>
      <c r="R6" s="16">
        <v>10.81</v>
      </c>
      <c r="S6" s="17">
        <v>146</v>
      </c>
      <c r="T6" s="15">
        <v>0.46</v>
      </c>
      <c r="U6" s="15">
        <v>0.3</v>
      </c>
      <c r="V6" s="15">
        <v>3.5000000000000003E-2</v>
      </c>
      <c r="W6" s="15">
        <v>159.4</v>
      </c>
      <c r="X6" s="15">
        <v>5.05</v>
      </c>
      <c r="Y6" s="15">
        <v>125.7</v>
      </c>
      <c r="Z6" s="15">
        <v>2.6</v>
      </c>
      <c r="AA6" s="15">
        <v>1.3</v>
      </c>
      <c r="AB6" s="15">
        <v>15.26</v>
      </c>
      <c r="AC6" s="15">
        <v>224.93</v>
      </c>
      <c r="AD6" s="15">
        <v>20.9</v>
      </c>
      <c r="AE6" s="15">
        <v>51.3</v>
      </c>
      <c r="AF6" s="15">
        <v>79.010000000000005</v>
      </c>
      <c r="AG6" s="15">
        <v>31.3</v>
      </c>
      <c r="AH6" s="15">
        <v>1.02</v>
      </c>
      <c r="AI6" s="15">
        <v>0.255</v>
      </c>
      <c r="AJ6" s="15">
        <v>17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</row>
    <row r="7" spans="1:956">
      <c r="A7" s="15">
        <v>6</v>
      </c>
      <c r="B7" s="15">
        <v>2</v>
      </c>
      <c r="C7" s="15">
        <v>183</v>
      </c>
      <c r="D7" s="9">
        <f t="shared" si="2"/>
        <v>1.1467505241090148</v>
      </c>
      <c r="E7" s="9">
        <f t="shared" si="3"/>
        <v>5.0314465408805034E-2</v>
      </c>
      <c r="F7" s="9">
        <f t="shared" si="0"/>
        <v>38.364779874213838</v>
      </c>
      <c r="G7" s="9">
        <f t="shared" si="1"/>
        <v>209.85534591194971</v>
      </c>
      <c r="H7" s="15">
        <v>7</v>
      </c>
      <c r="I7" s="7" t="s">
        <v>30</v>
      </c>
      <c r="J7" s="9">
        <v>4.5</v>
      </c>
      <c r="K7" s="9">
        <v>11.54</v>
      </c>
      <c r="L7" s="9">
        <v>5.47</v>
      </c>
      <c r="M7" s="9">
        <v>4.7699999999999996</v>
      </c>
      <c r="N7" s="9">
        <v>0.24</v>
      </c>
      <c r="O7" s="9">
        <v>0.77</v>
      </c>
      <c r="P7" s="9">
        <v>0</v>
      </c>
      <c r="Q7" s="9">
        <v>0.01</v>
      </c>
      <c r="R7" s="16">
        <v>9.98</v>
      </c>
      <c r="S7" s="17">
        <v>138</v>
      </c>
      <c r="T7" s="15">
        <v>0.44</v>
      </c>
      <c r="U7" s="15">
        <v>0.4</v>
      </c>
      <c r="V7" s="15">
        <v>3.9E-2</v>
      </c>
      <c r="W7" s="15">
        <v>158.80000000000001</v>
      </c>
      <c r="X7" s="15">
        <v>4.71</v>
      </c>
      <c r="Y7" s="15">
        <v>124.5</v>
      </c>
      <c r="Z7" s="15">
        <v>2.67</v>
      </c>
      <c r="AA7" s="15">
        <v>1.06</v>
      </c>
      <c r="AB7" s="15">
        <v>11.16</v>
      </c>
      <c r="AC7" s="15">
        <v>169.62</v>
      </c>
      <c r="AD7" s="15">
        <v>36.4</v>
      </c>
      <c r="AE7" s="15">
        <v>50.3</v>
      </c>
      <c r="AF7" s="15">
        <v>79.73</v>
      </c>
      <c r="AG7" s="15">
        <v>35.96</v>
      </c>
      <c r="AH7" s="15"/>
      <c r="AI7" s="15"/>
      <c r="AJ7" s="15">
        <v>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</row>
    <row r="8" spans="1:956">
      <c r="A8" s="15">
        <v>7</v>
      </c>
      <c r="B8" s="15">
        <v>2</v>
      </c>
      <c r="C8" s="15">
        <v>133</v>
      </c>
      <c r="D8" s="9">
        <f t="shared" si="2"/>
        <v>1.7181208053691275</v>
      </c>
      <c r="E8" s="9">
        <f t="shared" si="3"/>
        <v>4.0268456375838924E-2</v>
      </c>
      <c r="F8" s="9">
        <f t="shared" si="0"/>
        <v>89.261744966442947</v>
      </c>
      <c r="G8" s="9">
        <f t="shared" si="1"/>
        <v>228.51006711409397</v>
      </c>
      <c r="H8" s="15">
        <v>12</v>
      </c>
      <c r="I8" s="15" t="s">
        <v>29</v>
      </c>
      <c r="J8" s="9">
        <v>5.4</v>
      </c>
      <c r="K8" s="9">
        <v>4.1399999999999997</v>
      </c>
      <c r="L8" s="9">
        <v>2.56</v>
      </c>
      <c r="M8" s="9">
        <v>1.49</v>
      </c>
      <c r="N8" s="9">
        <v>0.06</v>
      </c>
      <c r="O8" s="9">
        <v>0.03</v>
      </c>
      <c r="P8" s="9">
        <v>0</v>
      </c>
      <c r="Q8" s="9">
        <v>0</v>
      </c>
      <c r="R8" s="16">
        <v>10.69</v>
      </c>
      <c r="S8" s="17">
        <v>146</v>
      </c>
      <c r="T8" s="15">
        <v>0.46</v>
      </c>
      <c r="U8" s="15">
        <v>0.2</v>
      </c>
      <c r="V8" s="15">
        <v>2.4E-2</v>
      </c>
      <c r="W8" s="15">
        <v>156.1</v>
      </c>
      <c r="X8" s="15">
        <v>4.5199999999999996</v>
      </c>
      <c r="Y8" s="15">
        <v>120.7</v>
      </c>
      <c r="Z8" s="15">
        <v>2.57</v>
      </c>
      <c r="AA8" s="15">
        <v>1.35</v>
      </c>
      <c r="AB8" s="15">
        <v>11.44</v>
      </c>
      <c r="AC8" s="15">
        <v>181.76</v>
      </c>
      <c r="AD8" s="15">
        <v>51</v>
      </c>
      <c r="AE8" s="15">
        <v>69.099999999999994</v>
      </c>
      <c r="AF8" s="15">
        <v>68.67</v>
      </c>
      <c r="AG8" s="15">
        <v>31.99</v>
      </c>
      <c r="AH8" s="15">
        <v>1.07</v>
      </c>
      <c r="AI8" s="15">
        <v>0.11700000000000001</v>
      </c>
      <c r="AJ8" s="15">
        <v>12</v>
      </c>
    </row>
    <row r="9" spans="1:956">
      <c r="A9" s="15">
        <v>8</v>
      </c>
      <c r="B9" s="15">
        <v>2</v>
      </c>
      <c r="C9" s="15">
        <v>144</v>
      </c>
      <c r="D9" s="9">
        <f t="shared" si="2"/>
        <v>1.8834951456310678</v>
      </c>
      <c r="E9" s="9">
        <f t="shared" si="3"/>
        <v>6.3106796116504854E-2</v>
      </c>
      <c r="F9" s="9">
        <f t="shared" si="0"/>
        <v>69.902912621359221</v>
      </c>
      <c r="G9" s="9">
        <f t="shared" si="1"/>
        <v>271.22330097087377</v>
      </c>
      <c r="H9" s="15">
        <v>6</v>
      </c>
      <c r="I9" s="15" t="s">
        <v>29</v>
      </c>
      <c r="J9" s="9">
        <v>6.4</v>
      </c>
      <c r="K9" s="9">
        <v>7.08</v>
      </c>
      <c r="L9" s="9">
        <v>3.88</v>
      </c>
      <c r="M9" s="9">
        <v>2.06</v>
      </c>
      <c r="N9" s="9">
        <v>0.13</v>
      </c>
      <c r="O9" s="9">
        <v>1</v>
      </c>
      <c r="P9" s="9">
        <v>0</v>
      </c>
      <c r="Q9" s="9">
        <v>0</v>
      </c>
      <c r="R9" s="16">
        <v>10.99</v>
      </c>
      <c r="S9" s="17">
        <v>163</v>
      </c>
      <c r="T9" s="15">
        <v>0.52</v>
      </c>
      <c r="U9" s="15">
        <v>0.4</v>
      </c>
      <c r="V9" s="15">
        <v>4.9000000000000002E-2</v>
      </c>
      <c r="W9" s="15">
        <v>154.69999999999999</v>
      </c>
      <c r="X9" s="15">
        <v>4.18</v>
      </c>
      <c r="Y9" s="15">
        <v>119.1</v>
      </c>
      <c r="Z9" s="15">
        <v>2.5299999999999998</v>
      </c>
      <c r="AA9" s="15">
        <v>1.07</v>
      </c>
      <c r="AB9" s="15">
        <v>7.57</v>
      </c>
      <c r="AC9" s="15">
        <v>170.08</v>
      </c>
      <c r="AD9" s="15">
        <v>11.7</v>
      </c>
      <c r="AE9" s="15">
        <v>90.7</v>
      </c>
      <c r="AF9" s="15">
        <v>75.2</v>
      </c>
      <c r="AG9" s="15">
        <v>34.17</v>
      </c>
      <c r="AH9" s="15">
        <v>1.05</v>
      </c>
      <c r="AI9" s="15"/>
      <c r="AJ9" s="15">
        <v>20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</row>
    <row r="10" spans="1:956">
      <c r="A10" s="15">
        <v>9</v>
      </c>
      <c r="B10" s="15">
        <v>2</v>
      </c>
      <c r="C10" s="15">
        <v>151</v>
      </c>
      <c r="D10" s="9">
        <f t="shared" si="2"/>
        <v>3.4065573770491806</v>
      </c>
      <c r="E10" s="9">
        <f t="shared" si="3"/>
        <v>0.13442622950819672</v>
      </c>
      <c r="F10" s="9">
        <f t="shared" si="0"/>
        <v>49.508196721311478</v>
      </c>
      <c r="G10" s="9">
        <f t="shared" si="1"/>
        <v>514.39016393442625</v>
      </c>
      <c r="H10" s="15">
        <v>8</v>
      </c>
      <c r="I10" s="15" t="s">
        <v>29</v>
      </c>
      <c r="J10" s="9">
        <v>6.64</v>
      </c>
      <c r="K10" s="9">
        <v>14.29</v>
      </c>
      <c r="L10" s="9">
        <v>10.39</v>
      </c>
      <c r="M10" s="9">
        <v>3.05</v>
      </c>
      <c r="N10" s="9">
        <v>0.41</v>
      </c>
      <c r="O10" s="9">
        <v>0.43</v>
      </c>
      <c r="P10" s="9">
        <v>0.01</v>
      </c>
      <c r="Q10" s="9">
        <v>0.01</v>
      </c>
      <c r="R10" s="16">
        <v>9.98</v>
      </c>
      <c r="S10" s="17">
        <v>137</v>
      </c>
      <c r="T10" s="15">
        <v>0.44</v>
      </c>
      <c r="U10" s="15">
        <v>0.2</v>
      </c>
      <c r="V10" s="15">
        <v>0.02</v>
      </c>
      <c r="W10" s="15">
        <v>161.69999999999999</v>
      </c>
      <c r="X10" s="15">
        <v>4.8</v>
      </c>
      <c r="Y10" s="15">
        <v>126.4</v>
      </c>
      <c r="Z10" s="15">
        <v>2.5299999999999998</v>
      </c>
      <c r="AA10" s="15">
        <v>1.7</v>
      </c>
      <c r="AB10" s="15">
        <v>10.79</v>
      </c>
      <c r="AC10" s="15">
        <v>168.1</v>
      </c>
      <c r="AD10" s="15">
        <v>16.2</v>
      </c>
      <c r="AE10" s="15">
        <v>50.1</v>
      </c>
      <c r="AF10" s="15">
        <v>80.47</v>
      </c>
      <c r="AG10" s="15">
        <v>29.97</v>
      </c>
      <c r="AH10" s="15">
        <v>1.06</v>
      </c>
      <c r="AI10" s="15">
        <v>0.157</v>
      </c>
      <c r="AJ10" s="15">
        <v>13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</row>
    <row r="11" spans="1:956">
      <c r="A11" s="15">
        <v>10</v>
      </c>
      <c r="B11" s="15">
        <v>2</v>
      </c>
      <c r="C11" s="15">
        <v>344</v>
      </c>
      <c r="D11" s="9">
        <f t="shared" si="2"/>
        <v>1.5436619718309861</v>
      </c>
      <c r="E11" s="9">
        <f t="shared" si="3"/>
        <v>5.9154929577464786E-2</v>
      </c>
      <c r="F11" s="9">
        <f t="shared" si="0"/>
        <v>96.901408450704224</v>
      </c>
      <c r="G11" s="9">
        <f t="shared" si="1"/>
        <v>531.01971830985917</v>
      </c>
      <c r="H11" s="15">
        <v>11</v>
      </c>
      <c r="I11" s="7" t="s">
        <v>30</v>
      </c>
      <c r="J11" s="9">
        <v>4.5999999999999996</v>
      </c>
      <c r="K11" s="15">
        <v>9.8699999999999992</v>
      </c>
      <c r="L11" s="9">
        <v>5.48</v>
      </c>
      <c r="M11" s="9">
        <v>3.55</v>
      </c>
      <c r="N11" s="9">
        <v>0.21</v>
      </c>
      <c r="O11" s="9"/>
      <c r="P11" s="9"/>
      <c r="Q11" s="9"/>
      <c r="R11" s="9">
        <v>6.74</v>
      </c>
      <c r="S11" s="18">
        <v>105</v>
      </c>
      <c r="T11" s="9">
        <v>0.34</v>
      </c>
      <c r="U11" s="15">
        <v>0.4</v>
      </c>
      <c r="V11" s="15">
        <v>0.03</v>
      </c>
      <c r="W11" s="9">
        <v>157.4</v>
      </c>
      <c r="X11" s="9">
        <v>4.5199999999999996</v>
      </c>
      <c r="Y11" s="9">
        <v>122.7</v>
      </c>
      <c r="Z11" s="9">
        <v>2.6</v>
      </c>
      <c r="AA11" s="9">
        <v>1.54</v>
      </c>
      <c r="AB11" s="9">
        <v>13.85</v>
      </c>
      <c r="AC11" s="9">
        <v>187.9</v>
      </c>
      <c r="AD11" s="9">
        <v>21.8</v>
      </c>
      <c r="AE11" s="9">
        <v>67.7</v>
      </c>
      <c r="AF11" s="9">
        <v>71.31</v>
      </c>
      <c r="AG11" s="9">
        <v>32.47</v>
      </c>
      <c r="AH11" s="15">
        <v>1.034</v>
      </c>
      <c r="AI11" s="15">
        <v>8.3000000000000004E-2</v>
      </c>
      <c r="AJ11" s="19">
        <v>10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</row>
    <row r="12" spans="1:956">
      <c r="A12" s="15">
        <v>11</v>
      </c>
      <c r="B12" s="15">
        <v>2</v>
      </c>
      <c r="C12" s="15">
        <v>398</v>
      </c>
      <c r="D12" s="9">
        <f t="shared" si="2"/>
        <v>3.2350230414746544</v>
      </c>
      <c r="E12" s="9">
        <f t="shared" si="3"/>
        <v>0.1152073732718894</v>
      </c>
      <c r="F12" s="9">
        <f t="shared" si="0"/>
        <v>183.41013824884794</v>
      </c>
      <c r="G12" s="9">
        <f t="shared" si="1"/>
        <v>1287.5391705069126</v>
      </c>
      <c r="H12" s="15">
        <v>15</v>
      </c>
      <c r="I12" s="15" t="s">
        <v>30</v>
      </c>
      <c r="J12" s="9">
        <v>3</v>
      </c>
      <c r="K12" s="15">
        <v>9.7899999999999991</v>
      </c>
      <c r="L12" s="9">
        <v>7.02</v>
      </c>
      <c r="M12" s="9">
        <v>2.17</v>
      </c>
      <c r="N12" s="9">
        <v>0.25</v>
      </c>
      <c r="O12" s="9"/>
      <c r="P12" s="9"/>
      <c r="Q12" s="9"/>
      <c r="R12" s="9">
        <v>9.09</v>
      </c>
      <c r="S12" s="18">
        <v>127</v>
      </c>
      <c r="T12" s="9">
        <v>0.4</v>
      </c>
      <c r="U12" s="15">
        <v>0.5</v>
      </c>
      <c r="V12" s="15">
        <v>3.5000000000000003E-2</v>
      </c>
      <c r="W12" s="9">
        <v>156.69999999999999</v>
      </c>
      <c r="X12" s="9">
        <v>4.72</v>
      </c>
      <c r="Y12" s="9">
        <v>127.7</v>
      </c>
      <c r="Z12" s="9">
        <v>2.5099999999999998</v>
      </c>
      <c r="AA12" s="9">
        <v>1.83</v>
      </c>
      <c r="AB12" s="9">
        <v>14.26</v>
      </c>
      <c r="AC12" s="9">
        <v>160.28</v>
      </c>
      <c r="AD12" s="9">
        <v>41.7</v>
      </c>
      <c r="AE12" s="9">
        <v>64.900000000000006</v>
      </c>
      <c r="AF12" s="9">
        <v>68.16</v>
      </c>
      <c r="AG12" s="9">
        <v>30.81</v>
      </c>
      <c r="AH12" s="15">
        <v>1.02</v>
      </c>
      <c r="AI12" s="15">
        <v>9.4E-2</v>
      </c>
      <c r="AJ12" s="15">
        <v>17</v>
      </c>
    </row>
    <row r="13" spans="1:956">
      <c r="A13" s="15">
        <v>12</v>
      </c>
      <c r="B13" s="7">
        <v>2</v>
      </c>
      <c r="C13" s="7">
        <v>295</v>
      </c>
      <c r="D13" s="9">
        <f t="shared" si="2"/>
        <v>2.7122641509433962</v>
      </c>
      <c r="E13" s="9">
        <f t="shared" si="3"/>
        <v>5.6603773584905655E-2</v>
      </c>
      <c r="F13" s="9">
        <f t="shared" si="0"/>
        <v>139.15094339622641</v>
      </c>
      <c r="G13" s="9">
        <f t="shared" si="1"/>
        <v>800.11792452830184</v>
      </c>
      <c r="H13" s="7">
        <v>14</v>
      </c>
      <c r="I13" s="7" t="s">
        <v>30</v>
      </c>
      <c r="J13" s="7">
        <v>4.68</v>
      </c>
      <c r="K13" s="7">
        <v>9.06</v>
      </c>
      <c r="L13" s="7">
        <v>5.75</v>
      </c>
      <c r="M13" s="7">
        <v>2.12</v>
      </c>
      <c r="N13" s="7">
        <v>0.12</v>
      </c>
      <c r="O13" s="7">
        <v>1.06</v>
      </c>
      <c r="P13" s="7">
        <v>0</v>
      </c>
      <c r="Q13" s="7">
        <v>0</v>
      </c>
      <c r="R13" s="9">
        <v>8.4700000000000006</v>
      </c>
      <c r="S13" s="18">
        <v>129</v>
      </c>
      <c r="T13" s="7">
        <v>0.39</v>
      </c>
      <c r="U13" s="7">
        <v>0.2</v>
      </c>
      <c r="V13" s="7">
        <v>0.02</v>
      </c>
      <c r="W13" s="7">
        <v>151.5</v>
      </c>
      <c r="X13" s="7">
        <v>4.4000000000000004</v>
      </c>
      <c r="Y13" s="7">
        <v>119.5</v>
      </c>
      <c r="Z13" s="7">
        <v>2.39</v>
      </c>
      <c r="AA13" s="7">
        <v>1.44</v>
      </c>
      <c r="AB13" s="7">
        <v>8.5299999999999994</v>
      </c>
      <c r="AC13" s="7">
        <v>160.22999999999999</v>
      </c>
      <c r="AD13" s="7">
        <v>31.5</v>
      </c>
      <c r="AE13" s="7">
        <v>110.7</v>
      </c>
      <c r="AF13" s="7">
        <v>75.56</v>
      </c>
      <c r="AG13" s="7">
        <v>31.93</v>
      </c>
      <c r="AJ13" s="15">
        <v>13</v>
      </c>
    </row>
    <row r="14" spans="1:956">
      <c r="A14" s="15">
        <v>13</v>
      </c>
      <c r="B14" s="15">
        <v>2</v>
      </c>
      <c r="C14" s="15">
        <v>292</v>
      </c>
      <c r="D14" s="9">
        <f t="shared" si="2"/>
        <v>1.4842767295597483</v>
      </c>
      <c r="E14" s="9">
        <f t="shared" si="3"/>
        <v>0.12264150943396226</v>
      </c>
      <c r="F14" s="9">
        <f t="shared" si="0"/>
        <v>91.823899371069174</v>
      </c>
      <c r="G14" s="9">
        <f t="shared" si="1"/>
        <v>433.40880503144655</v>
      </c>
      <c r="H14" s="15">
        <v>10</v>
      </c>
      <c r="I14" s="15" t="s">
        <v>30</v>
      </c>
      <c r="J14" s="9">
        <v>4.7</v>
      </c>
      <c r="K14" s="15">
        <v>9.2899999999999991</v>
      </c>
      <c r="L14" s="9">
        <v>4.72</v>
      </c>
      <c r="M14" s="9">
        <v>3.18</v>
      </c>
      <c r="N14" s="9">
        <v>0.39</v>
      </c>
      <c r="O14" s="9"/>
      <c r="P14" s="9"/>
      <c r="Q14" s="9"/>
      <c r="R14" s="9">
        <v>8.0500000000000007</v>
      </c>
      <c r="S14" s="18">
        <v>108</v>
      </c>
      <c r="T14" s="9">
        <v>0.36</v>
      </c>
      <c r="U14" s="15">
        <v>0.4</v>
      </c>
      <c r="V14" s="15">
        <v>2.9000000000000001E-2</v>
      </c>
      <c r="W14" s="9">
        <v>152</v>
      </c>
      <c r="X14" s="9">
        <v>4.03</v>
      </c>
      <c r="Y14" s="9">
        <v>119.4</v>
      </c>
      <c r="Z14" s="9">
        <v>2.39</v>
      </c>
      <c r="AA14" s="9">
        <v>1.25</v>
      </c>
      <c r="AB14" s="9">
        <v>12.83</v>
      </c>
      <c r="AC14" s="9">
        <v>159.36000000000001</v>
      </c>
      <c r="AD14" s="9">
        <v>26.9</v>
      </c>
      <c r="AE14" s="9">
        <v>43.5</v>
      </c>
      <c r="AF14" s="9">
        <v>64.099999999999994</v>
      </c>
      <c r="AG14" s="9">
        <v>31.1</v>
      </c>
      <c r="AH14" s="15"/>
      <c r="AI14" s="15"/>
      <c r="AJ14" s="15">
        <v>21</v>
      </c>
    </row>
    <row r="15" spans="1:956">
      <c r="A15" s="15">
        <v>14</v>
      </c>
      <c r="B15" s="15">
        <v>2</v>
      </c>
      <c r="C15" s="15">
        <v>482</v>
      </c>
      <c r="D15" s="9">
        <f t="shared" si="2"/>
        <v>8.8920187793427239</v>
      </c>
      <c r="E15" s="9">
        <f t="shared" si="3"/>
        <v>0.24882629107981225</v>
      </c>
      <c r="F15" s="9">
        <f t="shared" si="0"/>
        <v>226.29107981220659</v>
      </c>
      <c r="G15" s="9">
        <f t="shared" si="1"/>
        <v>4285.9530516431923</v>
      </c>
      <c r="H15" s="15">
        <v>6</v>
      </c>
      <c r="I15" s="15" t="s">
        <v>30</v>
      </c>
      <c r="J15" s="7">
        <v>2.72</v>
      </c>
      <c r="K15" s="15">
        <v>21.91</v>
      </c>
      <c r="L15" s="9">
        <v>18.940000000000001</v>
      </c>
      <c r="M15" s="9">
        <v>2.13</v>
      </c>
      <c r="N15" s="9">
        <v>0.53</v>
      </c>
      <c r="O15" s="9"/>
      <c r="P15" s="9"/>
      <c r="Q15" s="9"/>
      <c r="R15" s="9">
        <v>6.6</v>
      </c>
      <c r="S15" s="18">
        <v>91</v>
      </c>
      <c r="T15" s="9">
        <v>0.28000000000000003</v>
      </c>
      <c r="U15" s="15">
        <v>0.5</v>
      </c>
      <c r="V15" s="15">
        <v>3.4000000000000002E-2</v>
      </c>
      <c r="W15" s="9">
        <v>153.5</v>
      </c>
      <c r="X15" s="9">
        <v>4.2699999999999996</v>
      </c>
      <c r="Y15" s="9">
        <v>122.8</v>
      </c>
      <c r="Z15" s="9">
        <v>2.4300000000000002</v>
      </c>
      <c r="AA15" s="9">
        <v>2.86</v>
      </c>
      <c r="AB15" s="9">
        <v>23.75</v>
      </c>
      <c r="AC15" s="9">
        <v>218.54</v>
      </c>
      <c r="AD15" s="9">
        <v>22.5</v>
      </c>
      <c r="AE15" s="9">
        <v>43.1</v>
      </c>
      <c r="AF15" s="9">
        <v>77.66</v>
      </c>
      <c r="AG15" s="9">
        <v>27.17</v>
      </c>
      <c r="AH15" s="15"/>
      <c r="AI15" s="15"/>
      <c r="AJ15" s="15">
        <v>21</v>
      </c>
    </row>
    <row r="16" spans="1:956">
      <c r="A16" s="15">
        <v>15</v>
      </c>
      <c r="B16" s="15">
        <v>2</v>
      </c>
      <c r="C16" s="15">
        <v>322</v>
      </c>
      <c r="D16" s="9">
        <f t="shared" si="2"/>
        <v>1.6949152542372881</v>
      </c>
      <c r="E16" s="9">
        <f t="shared" si="3"/>
        <v>5.084745762711864E-2</v>
      </c>
      <c r="F16" s="9">
        <f t="shared" si="0"/>
        <v>181.92090395480227</v>
      </c>
      <c r="G16" s="9">
        <f t="shared" si="1"/>
        <v>545.76271186440681</v>
      </c>
      <c r="H16" s="15">
        <v>14</v>
      </c>
      <c r="I16" s="15" t="s">
        <v>30</v>
      </c>
      <c r="J16" s="15">
        <v>3.2</v>
      </c>
      <c r="K16" s="15">
        <v>5.14</v>
      </c>
      <c r="L16" s="9">
        <v>3</v>
      </c>
      <c r="M16" s="9">
        <v>1.77</v>
      </c>
      <c r="N16" s="9">
        <v>0.09</v>
      </c>
      <c r="O16" s="9">
        <v>0.27</v>
      </c>
      <c r="P16" s="9">
        <v>0</v>
      </c>
      <c r="Q16" s="9">
        <v>0.02</v>
      </c>
      <c r="R16" s="16">
        <v>8.7899999999999991</v>
      </c>
      <c r="S16" s="17">
        <v>126</v>
      </c>
      <c r="T16" s="15">
        <v>0.43</v>
      </c>
      <c r="U16" s="15">
        <v>0.2</v>
      </c>
      <c r="V16" s="15"/>
      <c r="W16" s="15">
        <v>154.19999999999999</v>
      </c>
      <c r="X16" s="15">
        <v>4.3</v>
      </c>
      <c r="Y16" s="15">
        <v>121.8</v>
      </c>
      <c r="Z16" s="15">
        <v>2.44</v>
      </c>
      <c r="AA16" s="15">
        <v>1.52</v>
      </c>
      <c r="AB16" s="15">
        <v>7.46</v>
      </c>
      <c r="AC16" s="15">
        <v>164.1</v>
      </c>
      <c r="AD16" s="15">
        <v>27.4</v>
      </c>
      <c r="AE16" s="15">
        <v>64.400000000000006</v>
      </c>
      <c r="AF16" s="15">
        <v>65.06</v>
      </c>
      <c r="AG16" s="15">
        <v>27.51</v>
      </c>
      <c r="AH16" s="15">
        <v>1.044</v>
      </c>
      <c r="AI16" s="15">
        <v>0.106</v>
      </c>
    </row>
    <row r="17" spans="1:956">
      <c r="A17" s="15">
        <v>16</v>
      </c>
      <c r="B17" s="15">
        <v>2</v>
      </c>
      <c r="C17" s="15">
        <v>369</v>
      </c>
      <c r="D17" s="9">
        <f t="shared" si="2"/>
        <v>1.0983606557377048</v>
      </c>
      <c r="E17" s="9">
        <f t="shared" si="3"/>
        <v>3.825136612021858E-2</v>
      </c>
      <c r="F17" s="9">
        <f t="shared" si="0"/>
        <v>100.81967213114754</v>
      </c>
      <c r="G17" s="9">
        <f t="shared" si="1"/>
        <v>405.29508196721309</v>
      </c>
      <c r="H17" s="15">
        <v>2</v>
      </c>
      <c r="I17" s="15" t="s">
        <v>29</v>
      </c>
      <c r="J17" s="15">
        <v>4.5599999999999996</v>
      </c>
      <c r="K17" s="15">
        <v>8.43</v>
      </c>
      <c r="L17" s="9">
        <v>4.0199999999999996</v>
      </c>
      <c r="M17" s="9">
        <v>3.66</v>
      </c>
      <c r="N17" s="9">
        <v>0.14000000000000001</v>
      </c>
      <c r="O17" s="9">
        <v>0.6</v>
      </c>
      <c r="P17" s="9">
        <v>0</v>
      </c>
      <c r="Q17" s="9">
        <v>0.01</v>
      </c>
      <c r="R17" s="16">
        <v>7.36</v>
      </c>
      <c r="S17" s="17">
        <v>110</v>
      </c>
      <c r="T17" s="15">
        <v>0.32</v>
      </c>
      <c r="U17" s="15">
        <v>0.5</v>
      </c>
      <c r="V17" s="15"/>
      <c r="W17" s="15">
        <v>155.4</v>
      </c>
      <c r="X17" s="15">
        <v>4.8499999999999996</v>
      </c>
      <c r="Y17" s="15">
        <v>122.3</v>
      </c>
      <c r="Z17" s="15">
        <v>2.75</v>
      </c>
      <c r="AA17" s="15">
        <v>1.9</v>
      </c>
      <c r="AB17" s="15">
        <v>12.44</v>
      </c>
      <c r="AC17" s="15">
        <v>181.72</v>
      </c>
      <c r="AD17" s="15">
        <v>24.7</v>
      </c>
      <c r="AE17" s="15">
        <v>43.8</v>
      </c>
      <c r="AF17" s="15">
        <v>72.86</v>
      </c>
      <c r="AG17" s="15">
        <v>34.67</v>
      </c>
      <c r="AH17" s="15">
        <v>1.0549999999999999</v>
      </c>
      <c r="AI17" s="15">
        <v>0.09</v>
      </c>
    </row>
    <row r="18" spans="1:956">
      <c r="A18" s="15">
        <v>17</v>
      </c>
      <c r="B18" s="19">
        <v>2</v>
      </c>
      <c r="C18" s="19">
        <v>243</v>
      </c>
      <c r="D18" s="9">
        <f t="shared" si="2"/>
        <v>2.2834645669291338</v>
      </c>
      <c r="E18" s="9">
        <f t="shared" si="3"/>
        <v>0.31496062992125984</v>
      </c>
      <c r="F18" s="9">
        <f t="shared" si="0"/>
        <v>191.33858267716536</v>
      </c>
      <c r="G18" s="9">
        <f t="shared" si="1"/>
        <v>554.88188976377944</v>
      </c>
      <c r="H18" s="19">
        <v>17</v>
      </c>
      <c r="I18" s="19" t="s">
        <v>26</v>
      </c>
      <c r="J18" s="19">
        <v>3.7</v>
      </c>
      <c r="K18" s="19">
        <v>4.91</v>
      </c>
      <c r="L18" s="9">
        <v>2.9</v>
      </c>
      <c r="M18" s="9">
        <v>1.27</v>
      </c>
      <c r="N18" s="9">
        <v>0.4</v>
      </c>
      <c r="O18" s="9">
        <v>0.28000000000000003</v>
      </c>
      <c r="P18" s="9">
        <v>0.06</v>
      </c>
      <c r="Q18" s="9">
        <v>0</v>
      </c>
      <c r="R18" s="20">
        <v>8.41</v>
      </c>
      <c r="S18" s="21">
        <v>132</v>
      </c>
      <c r="T18" s="19">
        <v>0.42</v>
      </c>
      <c r="U18" s="19"/>
      <c r="V18" s="19"/>
      <c r="W18" s="19"/>
      <c r="X18" s="19"/>
      <c r="Y18" s="19"/>
      <c r="Z18" s="19">
        <v>2.57</v>
      </c>
      <c r="AA18" s="19">
        <v>1.53</v>
      </c>
      <c r="AB18" s="19">
        <v>14.41</v>
      </c>
      <c r="AC18" s="19">
        <v>233.69</v>
      </c>
      <c r="AD18" s="19">
        <v>34.1</v>
      </c>
      <c r="AE18" s="19">
        <v>65.2</v>
      </c>
      <c r="AF18" s="19">
        <v>82.19</v>
      </c>
      <c r="AG18" s="19">
        <v>33.46</v>
      </c>
      <c r="AH18" s="19"/>
      <c r="AI18" s="19"/>
      <c r="AJ18" s="1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</row>
    <row r="19" spans="1:956">
      <c r="A19" s="15">
        <v>18</v>
      </c>
      <c r="B19" s="8">
        <v>2</v>
      </c>
      <c r="C19" s="9">
        <v>497</v>
      </c>
      <c r="D19" s="9">
        <f t="shared" si="2"/>
        <v>2.6715686274509802</v>
      </c>
      <c r="E19" s="9">
        <f t="shared" si="3"/>
        <v>8.3333333333333343E-2</v>
      </c>
      <c r="F19" s="9">
        <f t="shared" si="0"/>
        <v>243.62745098039215</v>
      </c>
      <c r="G19" s="9">
        <f t="shared" si="1"/>
        <v>1327.7696078431372</v>
      </c>
      <c r="H19" s="9"/>
      <c r="I19" s="9"/>
      <c r="J19" s="9">
        <v>6</v>
      </c>
      <c r="K19" s="9">
        <v>7.74</v>
      </c>
      <c r="L19" s="9">
        <v>5.45</v>
      </c>
      <c r="M19" s="9">
        <v>2.04</v>
      </c>
      <c r="N19" s="9">
        <v>0.17</v>
      </c>
      <c r="O19" s="9">
        <v>0.06</v>
      </c>
      <c r="P19" s="9">
        <v>0.01</v>
      </c>
      <c r="Q19" s="9">
        <v>0.02</v>
      </c>
      <c r="R19" s="9">
        <v>8.6300000000000008</v>
      </c>
      <c r="S19" s="18">
        <v>120</v>
      </c>
      <c r="T19" s="9">
        <v>0.39</v>
      </c>
      <c r="U19" s="9">
        <v>0.3</v>
      </c>
      <c r="V19" s="22">
        <v>2.1000000000000001E-2</v>
      </c>
      <c r="W19" s="9">
        <v>155.69999999999999</v>
      </c>
      <c r="X19" s="9">
        <v>5.3</v>
      </c>
      <c r="Y19" s="9">
        <v>123.5</v>
      </c>
      <c r="Z19" s="9">
        <v>2.74</v>
      </c>
      <c r="AA19" s="9">
        <v>1.42</v>
      </c>
      <c r="AB19" s="9">
        <v>9.19</v>
      </c>
      <c r="AC19" s="9">
        <v>141.59</v>
      </c>
      <c r="AD19" s="9"/>
      <c r="AE19" s="9"/>
      <c r="AF19" s="9">
        <v>79.09</v>
      </c>
      <c r="AG19" s="9">
        <v>31.51</v>
      </c>
      <c r="AH19" s="22">
        <v>1.06</v>
      </c>
      <c r="AI19" s="9">
        <v>0.2</v>
      </c>
      <c r="AJ19" s="1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</row>
    <row r="20" spans="1:956">
      <c r="A20" s="15">
        <v>19</v>
      </c>
      <c r="B20" s="8">
        <v>2</v>
      </c>
      <c r="C20" s="9">
        <v>218</v>
      </c>
      <c r="D20" s="9">
        <f t="shared" si="2"/>
        <v>1.680473372781065</v>
      </c>
      <c r="E20" s="9">
        <f t="shared" si="3"/>
        <v>5.9171597633136098E-2</v>
      </c>
      <c r="F20" s="9">
        <f t="shared" si="0"/>
        <v>128.9940828402367</v>
      </c>
      <c r="G20" s="9">
        <f t="shared" si="1"/>
        <v>366.34319526627218</v>
      </c>
      <c r="H20" s="8">
        <v>11</v>
      </c>
      <c r="I20" s="9" t="s">
        <v>25</v>
      </c>
      <c r="J20" s="9">
        <v>8</v>
      </c>
      <c r="K20" s="9">
        <v>5.1100000000000003</v>
      </c>
      <c r="L20" s="9">
        <v>2.84</v>
      </c>
      <c r="M20" s="9">
        <v>1.69</v>
      </c>
      <c r="N20" s="9">
        <v>0.1</v>
      </c>
      <c r="O20" s="9">
        <v>0.48</v>
      </c>
      <c r="P20" s="9">
        <v>0</v>
      </c>
      <c r="Q20" s="9">
        <v>0</v>
      </c>
      <c r="R20" s="9">
        <v>9.99</v>
      </c>
      <c r="S20" s="18">
        <v>124</v>
      </c>
      <c r="T20" s="9">
        <v>0.4</v>
      </c>
      <c r="U20" s="9">
        <v>0.4</v>
      </c>
      <c r="V20" s="22">
        <v>4.2000000000000003E-2</v>
      </c>
      <c r="W20" s="9">
        <v>151.4</v>
      </c>
      <c r="X20" s="9">
        <v>3.87</v>
      </c>
      <c r="Y20" s="9">
        <v>120.3</v>
      </c>
      <c r="Z20" s="9">
        <v>2.52</v>
      </c>
      <c r="AA20" s="9">
        <v>1.4</v>
      </c>
      <c r="AB20" s="9">
        <v>8</v>
      </c>
      <c r="AC20" s="9">
        <v>193.4</v>
      </c>
      <c r="AD20" s="9">
        <v>14.3</v>
      </c>
      <c r="AE20" s="9">
        <v>28.7</v>
      </c>
      <c r="AF20" s="9">
        <v>70.23</v>
      </c>
      <c r="AG20" s="9">
        <v>33.97</v>
      </c>
      <c r="AH20" s="22">
        <v>1.046</v>
      </c>
      <c r="AI20" s="9">
        <v>0.215</v>
      </c>
      <c r="AJ20" s="1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</row>
    <row r="21" spans="1:956">
      <c r="A21" s="15">
        <v>20</v>
      </c>
      <c r="B21" s="8">
        <v>2</v>
      </c>
      <c r="C21" s="9">
        <v>69</v>
      </c>
      <c r="D21" s="9">
        <f t="shared" si="2"/>
        <v>1.3806818181818183</v>
      </c>
      <c r="E21" s="9">
        <f t="shared" si="3"/>
        <v>6.25E-2</v>
      </c>
      <c r="F21" s="9">
        <f t="shared" si="0"/>
        <v>39.204545454545453</v>
      </c>
      <c r="G21" s="9">
        <f t="shared" si="1"/>
        <v>95.267045454545467</v>
      </c>
      <c r="H21" s="8">
        <v>11</v>
      </c>
      <c r="I21" s="9" t="s">
        <v>27</v>
      </c>
      <c r="J21" s="9">
        <v>4</v>
      </c>
      <c r="K21" s="9">
        <v>4.91</v>
      </c>
      <c r="L21" s="9">
        <v>2.4300000000000002</v>
      </c>
      <c r="M21" s="9">
        <v>1.76</v>
      </c>
      <c r="N21" s="9">
        <v>0.11</v>
      </c>
      <c r="O21" s="9">
        <v>0.6</v>
      </c>
      <c r="P21" s="9">
        <v>0</v>
      </c>
      <c r="Q21" s="9">
        <v>0</v>
      </c>
      <c r="R21" s="9">
        <v>11.07</v>
      </c>
      <c r="S21" s="18">
        <v>137</v>
      </c>
      <c r="T21" s="9">
        <v>0.46</v>
      </c>
      <c r="U21" s="9">
        <v>0.3</v>
      </c>
      <c r="V21" s="22">
        <v>3.6999999999999998E-2</v>
      </c>
      <c r="W21" s="9">
        <v>157.80000000000001</v>
      </c>
      <c r="X21" s="9">
        <v>4.17</v>
      </c>
      <c r="Y21" s="9">
        <v>126.8</v>
      </c>
      <c r="Z21" s="9">
        <v>2.67</v>
      </c>
      <c r="AA21" s="9">
        <v>1.29</v>
      </c>
      <c r="AB21" s="9">
        <v>11.03</v>
      </c>
      <c r="AC21" s="9">
        <v>168.77</v>
      </c>
      <c r="AD21" s="9">
        <v>48.8</v>
      </c>
      <c r="AE21" s="9">
        <v>34.799999999999997</v>
      </c>
      <c r="AF21" s="9">
        <v>80.069999999999993</v>
      </c>
      <c r="AG21" s="9">
        <v>30.86</v>
      </c>
      <c r="AH21" s="22">
        <v>1.0580000000000001</v>
      </c>
      <c r="AI21" s="9">
        <v>0.13</v>
      </c>
    </row>
    <row r="22" spans="1:956">
      <c r="A22" s="15">
        <v>21</v>
      </c>
      <c r="B22" s="8">
        <v>2</v>
      </c>
      <c r="C22" s="9">
        <v>322</v>
      </c>
      <c r="D22" s="9">
        <f t="shared" si="2"/>
        <v>2.0825688073394493</v>
      </c>
      <c r="E22" s="9">
        <f t="shared" si="3"/>
        <v>9.1743119266055051E-2</v>
      </c>
      <c r="F22" s="9">
        <f t="shared" si="0"/>
        <v>295.41284403669721</v>
      </c>
      <c r="G22" s="9">
        <f t="shared" si="1"/>
        <v>670.58715596330273</v>
      </c>
      <c r="H22" s="8">
        <v>20</v>
      </c>
      <c r="I22" s="9" t="s">
        <v>27</v>
      </c>
      <c r="J22" s="9">
        <v>4</v>
      </c>
      <c r="K22" s="9">
        <v>3.64</v>
      </c>
      <c r="L22" s="9">
        <v>2.27</v>
      </c>
      <c r="M22" s="9">
        <v>1.0900000000000001</v>
      </c>
      <c r="N22" s="9">
        <v>0.1</v>
      </c>
      <c r="O22" s="9">
        <v>0.18</v>
      </c>
      <c r="P22" s="9">
        <v>0</v>
      </c>
      <c r="Q22" s="9">
        <v>0.01</v>
      </c>
      <c r="R22" s="9">
        <v>8.41</v>
      </c>
      <c r="S22" s="18">
        <v>118</v>
      </c>
      <c r="T22" s="9">
        <v>0.37</v>
      </c>
      <c r="U22" s="9">
        <v>0.1</v>
      </c>
      <c r="V22" s="22">
        <v>1.0999999999999999E-2</v>
      </c>
      <c r="W22" s="9">
        <v>171.2</v>
      </c>
      <c r="X22" s="9">
        <v>5.35</v>
      </c>
      <c r="Y22" s="9">
        <v>133.9</v>
      </c>
      <c r="Z22" s="9">
        <v>2.92</v>
      </c>
      <c r="AA22" s="9">
        <v>1.37</v>
      </c>
      <c r="AB22" s="9">
        <v>11.29</v>
      </c>
      <c r="AC22" s="9">
        <v>186.81</v>
      </c>
      <c r="AD22" s="9">
        <v>22.5</v>
      </c>
      <c r="AE22" s="9">
        <v>26.7</v>
      </c>
      <c r="AF22" s="9">
        <v>79.42</v>
      </c>
      <c r="AG22" s="9">
        <v>30.53</v>
      </c>
      <c r="AH22" s="22">
        <v>1.02</v>
      </c>
      <c r="AI22" s="9">
        <v>0.32</v>
      </c>
    </row>
    <row r="23" spans="1:956">
      <c r="A23" s="15">
        <v>22</v>
      </c>
      <c r="B23" s="8">
        <v>2</v>
      </c>
      <c r="C23" s="9">
        <v>505</v>
      </c>
      <c r="D23" s="9">
        <f t="shared" si="2"/>
        <v>2.2621951219512195</v>
      </c>
      <c r="E23" s="9">
        <f t="shared" si="3"/>
        <v>9.7560975609756101E-2</v>
      </c>
      <c r="F23" s="9">
        <f t="shared" si="0"/>
        <v>307.92682926829269</v>
      </c>
      <c r="G23" s="9">
        <f t="shared" si="1"/>
        <v>1142.4085365853659</v>
      </c>
      <c r="H23" s="8">
        <v>12</v>
      </c>
      <c r="I23" s="9" t="s">
        <v>27</v>
      </c>
      <c r="J23" s="9">
        <v>4</v>
      </c>
      <c r="K23" s="9">
        <v>6.43</v>
      </c>
      <c r="L23" s="9">
        <v>3.71</v>
      </c>
      <c r="M23" s="9">
        <v>1.64</v>
      </c>
      <c r="N23" s="9">
        <v>0.16</v>
      </c>
      <c r="O23" s="9">
        <v>0.87</v>
      </c>
      <c r="P23" s="9">
        <v>0.01</v>
      </c>
      <c r="Q23" s="9">
        <v>0.04</v>
      </c>
      <c r="R23" s="9">
        <v>5.9</v>
      </c>
      <c r="S23" s="18">
        <v>89</v>
      </c>
      <c r="T23" s="9">
        <v>0.3</v>
      </c>
      <c r="U23" s="9">
        <v>0</v>
      </c>
      <c r="V23" s="22">
        <v>3.0000000000000001E-3</v>
      </c>
      <c r="W23" s="9">
        <v>156.4</v>
      </c>
      <c r="X23" s="9">
        <v>5.08</v>
      </c>
      <c r="Y23" s="9">
        <v>127.3</v>
      </c>
      <c r="Z23" s="9">
        <v>2.35</v>
      </c>
      <c r="AA23" s="9">
        <v>1.38</v>
      </c>
      <c r="AB23" s="9">
        <v>9.2200000000000006</v>
      </c>
      <c r="AC23" s="9">
        <v>153.1</v>
      </c>
      <c r="AD23" s="9">
        <v>31.2</v>
      </c>
      <c r="AE23" s="9">
        <v>31.7</v>
      </c>
      <c r="AF23" s="9">
        <v>69.099999999999994</v>
      </c>
      <c r="AG23" s="9">
        <v>30.44</v>
      </c>
      <c r="AH23" s="22">
        <v>1.0640000000000001</v>
      </c>
      <c r="AI23" s="9">
        <v>0.1575</v>
      </c>
    </row>
    <row r="24" spans="1:956">
      <c r="A24" s="15">
        <v>23</v>
      </c>
      <c r="B24" s="8">
        <v>2</v>
      </c>
      <c r="C24" s="9">
        <v>288</v>
      </c>
      <c r="D24" s="9">
        <f t="shared" si="2"/>
        <v>0.38911290322580644</v>
      </c>
      <c r="E24" s="9">
        <f t="shared" si="3"/>
        <v>2.620967741935484E-2</v>
      </c>
      <c r="F24" s="9">
        <f t="shared" si="0"/>
        <v>29.032258064516128</v>
      </c>
      <c r="G24" s="9">
        <f t="shared" si="1"/>
        <v>112.06451612903227</v>
      </c>
      <c r="H24" s="8">
        <v>6</v>
      </c>
      <c r="I24" s="9" t="s">
        <v>25</v>
      </c>
      <c r="J24" s="9">
        <v>6.7</v>
      </c>
      <c r="K24" s="9">
        <v>14.8</v>
      </c>
      <c r="L24" s="9">
        <v>3.86</v>
      </c>
      <c r="M24" s="9">
        <v>9.92</v>
      </c>
      <c r="N24" s="9">
        <v>0.26</v>
      </c>
      <c r="O24" s="9">
        <v>0.74</v>
      </c>
      <c r="P24" s="9">
        <v>0.01</v>
      </c>
      <c r="Q24" s="9">
        <v>0.02</v>
      </c>
      <c r="R24" s="9">
        <v>9.44</v>
      </c>
      <c r="S24" s="18">
        <v>136</v>
      </c>
      <c r="T24" s="9">
        <v>0.45</v>
      </c>
      <c r="U24" s="9">
        <v>5.7000000000000002E-2</v>
      </c>
      <c r="V24" s="22">
        <v>5.7000000000000002E-2</v>
      </c>
      <c r="W24" s="9">
        <v>152.5</v>
      </c>
      <c r="X24" s="9">
        <v>4.5199999999999996</v>
      </c>
      <c r="Y24" s="9">
        <v>122.5</v>
      </c>
      <c r="Z24" s="9">
        <v>2.46</v>
      </c>
      <c r="AA24" s="9">
        <v>1.06</v>
      </c>
      <c r="AB24" s="9">
        <v>8.6999999999999993</v>
      </c>
      <c r="AC24" s="9">
        <v>174.5</v>
      </c>
      <c r="AD24" s="9">
        <v>24.5</v>
      </c>
      <c r="AE24" s="9">
        <v>64.2</v>
      </c>
      <c r="AF24" s="9">
        <v>75.2</v>
      </c>
      <c r="AG24" s="9">
        <v>37.799999999999997</v>
      </c>
      <c r="AH24" s="22"/>
      <c r="AI24" s="9"/>
    </row>
    <row r="25" spans="1:956">
      <c r="A25" s="15">
        <v>24</v>
      </c>
      <c r="B25" s="15">
        <v>2</v>
      </c>
      <c r="C25" s="19">
        <v>217</v>
      </c>
      <c r="D25" s="9">
        <f t="shared" si="2"/>
        <v>1.7243589743589742</v>
      </c>
      <c r="E25" s="9">
        <f t="shared" si="3"/>
        <v>8.3333333333333329E-2</v>
      </c>
      <c r="F25" s="9">
        <f t="shared" si="0"/>
        <v>139.10256410256409</v>
      </c>
      <c r="G25" s="9">
        <f t="shared" si="1"/>
        <v>374.18589743589746</v>
      </c>
      <c r="H25" s="19">
        <v>10</v>
      </c>
      <c r="I25" s="19" t="s">
        <v>26</v>
      </c>
      <c r="J25" s="19">
        <v>4.0999999999999996</v>
      </c>
      <c r="K25" s="19">
        <v>4.75</v>
      </c>
      <c r="L25" s="9">
        <v>2.69</v>
      </c>
      <c r="M25" s="9">
        <v>1.56</v>
      </c>
      <c r="N25" s="9">
        <v>0.13</v>
      </c>
      <c r="O25" s="9">
        <v>0.36</v>
      </c>
      <c r="P25" s="9">
        <v>0.01</v>
      </c>
      <c r="Q25" s="9">
        <v>0</v>
      </c>
      <c r="R25" s="20">
        <v>10.37</v>
      </c>
      <c r="S25" s="21">
        <v>137</v>
      </c>
      <c r="T25" s="19">
        <v>0.44</v>
      </c>
      <c r="U25" s="19"/>
      <c r="W25" s="19">
        <v>155.9</v>
      </c>
      <c r="X25" s="19">
        <v>5.17</v>
      </c>
      <c r="Y25" s="19">
        <v>121.3</v>
      </c>
      <c r="Z25" s="19">
        <v>2.5</v>
      </c>
      <c r="AA25" s="19">
        <v>1.27</v>
      </c>
      <c r="AB25" s="19">
        <v>12.77</v>
      </c>
      <c r="AC25" s="19">
        <v>178.02</v>
      </c>
      <c r="AD25" s="19">
        <v>39.200000000000003</v>
      </c>
      <c r="AE25" s="19">
        <v>41</v>
      </c>
      <c r="AF25" s="19">
        <v>78.819999999999993</v>
      </c>
      <c r="AG25" s="19">
        <v>31.1</v>
      </c>
      <c r="AH25" s="15">
        <v>1.05</v>
      </c>
      <c r="AI25" s="15">
        <v>0.33700000000000002</v>
      </c>
    </row>
    <row r="26" spans="1:956">
      <c r="A26" s="15">
        <v>25</v>
      </c>
      <c r="B26" s="15">
        <v>2</v>
      </c>
      <c r="C26" s="15">
        <v>392</v>
      </c>
      <c r="D26" s="9">
        <f t="shared" si="2"/>
        <v>4.1021505376344081</v>
      </c>
      <c r="E26" s="9">
        <f t="shared" si="3"/>
        <v>0.12365591397849462</v>
      </c>
      <c r="F26" s="9">
        <f t="shared" si="0"/>
        <v>210.75268817204301</v>
      </c>
      <c r="G26" s="9">
        <f t="shared" si="1"/>
        <v>1608.0430107526881</v>
      </c>
      <c r="H26" s="15">
        <v>21</v>
      </c>
      <c r="I26" s="15" t="s">
        <v>31</v>
      </c>
      <c r="J26" s="15">
        <v>4</v>
      </c>
      <c r="K26" s="15">
        <v>10.43</v>
      </c>
      <c r="L26" s="9">
        <v>7.63</v>
      </c>
      <c r="M26" s="9">
        <v>1.86</v>
      </c>
      <c r="N26" s="9">
        <v>0.23</v>
      </c>
      <c r="O26" s="9">
        <v>0.66</v>
      </c>
      <c r="P26" s="9">
        <v>0</v>
      </c>
      <c r="Q26" s="9">
        <v>0.05</v>
      </c>
      <c r="R26" s="16">
        <v>6.79</v>
      </c>
      <c r="S26" s="17">
        <v>98</v>
      </c>
      <c r="T26" s="16">
        <v>0.3</v>
      </c>
      <c r="U26" s="15">
        <v>0.3</v>
      </c>
      <c r="W26" s="15"/>
      <c r="X26" s="15"/>
      <c r="Y26" s="15"/>
      <c r="Z26" s="15">
        <v>2.76</v>
      </c>
      <c r="AA26" s="15">
        <v>1.23</v>
      </c>
      <c r="AB26" s="15">
        <v>12.4</v>
      </c>
      <c r="AC26" s="15">
        <v>160.77000000000001</v>
      </c>
      <c r="AD26" s="15">
        <v>26.1</v>
      </c>
      <c r="AE26" s="15">
        <v>122.1</v>
      </c>
      <c r="AF26" s="15">
        <v>69.099999999999994</v>
      </c>
      <c r="AG26" s="15">
        <v>28.7</v>
      </c>
      <c r="AH26" s="15"/>
      <c r="AI26" s="15"/>
    </row>
    <row r="27" spans="1:956">
      <c r="A27" s="15">
        <v>26</v>
      </c>
      <c r="B27" s="15">
        <v>2</v>
      </c>
      <c r="C27" s="15">
        <v>336</v>
      </c>
      <c r="D27" s="9">
        <f t="shared" si="2"/>
        <v>1.9883040935672514</v>
      </c>
      <c r="E27" s="9">
        <f t="shared" si="3"/>
        <v>8.1871345029239775E-2</v>
      </c>
      <c r="F27" s="9">
        <f t="shared" si="0"/>
        <v>98.245614035087726</v>
      </c>
      <c r="G27" s="9">
        <f t="shared" si="1"/>
        <v>668.07017543859638</v>
      </c>
      <c r="H27" s="15">
        <v>3</v>
      </c>
      <c r="I27" s="15" t="s">
        <v>29</v>
      </c>
      <c r="J27" s="15">
        <v>6.8</v>
      </c>
      <c r="K27" s="15">
        <v>10.75</v>
      </c>
      <c r="L27" s="9">
        <v>6.8</v>
      </c>
      <c r="M27" s="9">
        <v>3.42</v>
      </c>
      <c r="N27" s="9">
        <v>0.28000000000000003</v>
      </c>
      <c r="O27" s="9">
        <v>0.24</v>
      </c>
      <c r="P27" s="9">
        <v>0</v>
      </c>
      <c r="Q27" s="9">
        <v>0.01</v>
      </c>
      <c r="R27" s="16">
        <v>9.24</v>
      </c>
      <c r="S27" s="17">
        <v>108</v>
      </c>
      <c r="T27" s="15">
        <v>0.33</v>
      </c>
      <c r="U27" s="15">
        <v>0.6</v>
      </c>
      <c r="W27" s="15">
        <v>154.6</v>
      </c>
      <c r="X27" s="15">
        <v>4.4800000000000004</v>
      </c>
      <c r="Y27" s="15">
        <v>120.3</v>
      </c>
      <c r="Z27" s="15">
        <v>2.54</v>
      </c>
      <c r="AA27" s="15">
        <v>2.0499999999999998</v>
      </c>
      <c r="AB27" s="15">
        <v>7.14</v>
      </c>
      <c r="AC27" s="15">
        <v>155.13</v>
      </c>
      <c r="AD27" s="15">
        <v>25</v>
      </c>
      <c r="AE27" s="15">
        <v>64.5</v>
      </c>
      <c r="AF27" s="15">
        <v>100</v>
      </c>
      <c r="AG27" s="15">
        <v>32.9</v>
      </c>
      <c r="AH27" s="15"/>
      <c r="AI27" s="15"/>
    </row>
    <row r="28" spans="1:956">
      <c r="A28" s="15">
        <v>27</v>
      </c>
      <c r="B28" s="8">
        <v>2</v>
      </c>
      <c r="C28" s="9">
        <v>161</v>
      </c>
      <c r="D28" s="9">
        <f t="shared" si="2"/>
        <v>1.2555555555555553</v>
      </c>
      <c r="E28" s="9">
        <f t="shared" si="3"/>
        <v>4.4444444444444446E-2</v>
      </c>
      <c r="F28" s="9">
        <f t="shared" si="0"/>
        <v>89.444444444444443</v>
      </c>
      <c r="G28" s="9">
        <f t="shared" si="1"/>
        <v>202.14444444444442</v>
      </c>
      <c r="H28" s="8">
        <v>5</v>
      </c>
      <c r="I28" s="9" t="s">
        <v>27</v>
      </c>
      <c r="J28" s="9">
        <v>4.3</v>
      </c>
      <c r="K28" s="9">
        <v>4.71</v>
      </c>
      <c r="L28" s="9">
        <v>2.2599999999999998</v>
      </c>
      <c r="M28" s="9">
        <v>1.8</v>
      </c>
      <c r="N28" s="9">
        <v>0.08</v>
      </c>
      <c r="O28" s="9">
        <v>0.56999999999999995</v>
      </c>
      <c r="P28" s="9">
        <v>0</v>
      </c>
      <c r="Q28" s="9">
        <v>0</v>
      </c>
      <c r="R28" s="9">
        <v>9.7200000000000006</v>
      </c>
      <c r="S28" s="18">
        <v>132</v>
      </c>
      <c r="T28" s="9">
        <v>0.43</v>
      </c>
      <c r="U28" s="9">
        <v>0.6</v>
      </c>
      <c r="V28" s="22">
        <v>5.6000000000000001E-2</v>
      </c>
      <c r="W28" s="9">
        <v>153.30000000000001</v>
      </c>
      <c r="X28" s="9">
        <v>4.0199999999999996</v>
      </c>
      <c r="Y28" s="9">
        <v>121.1</v>
      </c>
      <c r="Z28" s="9">
        <v>2.61</v>
      </c>
      <c r="AA28" s="9">
        <v>0.96</v>
      </c>
      <c r="AB28" s="9">
        <v>9.33</v>
      </c>
      <c r="AC28" s="9">
        <v>169.72</v>
      </c>
      <c r="AD28" s="9">
        <v>24.5</v>
      </c>
      <c r="AE28" s="9">
        <v>39.6</v>
      </c>
      <c r="AF28" s="9">
        <v>77.19</v>
      </c>
      <c r="AG28" s="9">
        <v>34.979999999999997</v>
      </c>
      <c r="AH28" s="22">
        <v>1.08</v>
      </c>
      <c r="AI28" s="9">
        <v>9.1999999999999998E-2</v>
      </c>
    </row>
    <row r="29" spans="1:956">
      <c r="A29" s="15">
        <v>28</v>
      </c>
      <c r="B29" s="8">
        <v>2</v>
      </c>
      <c r="C29" s="9">
        <v>434</v>
      </c>
      <c r="D29" s="9">
        <f t="shared" si="2"/>
        <v>3.25609756097561</v>
      </c>
      <c r="E29" s="9">
        <f t="shared" si="3"/>
        <v>0.15853658536585366</v>
      </c>
      <c r="F29" s="9">
        <f t="shared" si="0"/>
        <v>264.63414634146341</v>
      </c>
      <c r="G29" s="9">
        <f t="shared" si="1"/>
        <v>1413.1463414634147</v>
      </c>
      <c r="H29" s="8">
        <v>19</v>
      </c>
      <c r="I29" s="9" t="s">
        <v>32</v>
      </c>
      <c r="J29" s="9">
        <v>2.78</v>
      </c>
      <c r="K29" s="9">
        <v>7.6</v>
      </c>
      <c r="L29" s="9">
        <v>5.34</v>
      </c>
      <c r="M29" s="9">
        <v>1.64</v>
      </c>
      <c r="N29" s="9">
        <v>0.26</v>
      </c>
      <c r="O29" s="9">
        <v>0.36</v>
      </c>
      <c r="P29" s="9">
        <v>0</v>
      </c>
      <c r="Q29" s="9">
        <v>0</v>
      </c>
      <c r="R29" s="9">
        <v>9.27</v>
      </c>
      <c r="S29" s="18">
        <v>120</v>
      </c>
      <c r="T29" s="9">
        <v>0.41</v>
      </c>
      <c r="U29" s="9">
        <v>0.2</v>
      </c>
      <c r="V29" s="22">
        <v>2.1000000000000001E-2</v>
      </c>
      <c r="W29" s="9">
        <v>151.69999999999999</v>
      </c>
      <c r="X29" s="9">
        <v>4.74</v>
      </c>
      <c r="Y29" s="9">
        <v>116.1</v>
      </c>
      <c r="Z29" s="9">
        <v>2.5499999999999998</v>
      </c>
      <c r="AA29" s="9">
        <v>2.25</v>
      </c>
      <c r="AB29" s="9">
        <v>18.32</v>
      </c>
      <c r="AC29" s="9">
        <v>211.02</v>
      </c>
      <c r="AD29" s="9">
        <v>23.4</v>
      </c>
      <c r="AE29" s="9">
        <v>84</v>
      </c>
      <c r="AF29" s="9">
        <v>82.38</v>
      </c>
      <c r="AG29" s="9">
        <v>29.78</v>
      </c>
      <c r="AH29" s="22">
        <v>1.02</v>
      </c>
      <c r="AI29" s="9">
        <v>0.47</v>
      </c>
      <c r="AJ29" s="1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</row>
    <row r="30" spans="1:956">
      <c r="A30" s="15">
        <v>29</v>
      </c>
      <c r="B30" s="8">
        <v>2</v>
      </c>
      <c r="C30" s="9">
        <v>624</v>
      </c>
      <c r="D30" s="9">
        <f t="shared" si="2"/>
        <v>5.2011834319526624</v>
      </c>
      <c r="E30" s="9">
        <f t="shared" si="3"/>
        <v>0.24260355029585798</v>
      </c>
      <c r="F30" s="9">
        <f t="shared" si="0"/>
        <v>369.23076923076923</v>
      </c>
      <c r="G30" s="9">
        <f t="shared" si="1"/>
        <v>3245.538461538461</v>
      </c>
      <c r="H30" s="8">
        <v>5</v>
      </c>
      <c r="I30" s="9" t="s">
        <v>27</v>
      </c>
      <c r="J30" s="9">
        <v>3.14</v>
      </c>
      <c r="K30" s="9">
        <v>11.53</v>
      </c>
      <c r="L30" s="9">
        <v>8.7899999999999991</v>
      </c>
      <c r="M30" s="9">
        <v>1.69</v>
      </c>
      <c r="N30" s="9">
        <v>0.41</v>
      </c>
      <c r="O30" s="9">
        <v>0.63</v>
      </c>
      <c r="P30" s="9">
        <v>0</v>
      </c>
      <c r="Q30" s="9">
        <v>0.01</v>
      </c>
      <c r="R30" s="9">
        <v>8.9600000000000009</v>
      </c>
      <c r="S30" s="18">
        <v>117</v>
      </c>
      <c r="T30" s="9">
        <v>0.39</v>
      </c>
      <c r="U30" s="9">
        <v>0.4</v>
      </c>
      <c r="V30" s="22">
        <v>3.5000000000000003E-2</v>
      </c>
      <c r="W30" s="9">
        <v>145</v>
      </c>
      <c r="X30" s="9">
        <v>3.8</v>
      </c>
      <c r="Y30" s="9">
        <v>111.4</v>
      </c>
      <c r="Z30" s="9">
        <v>2.84</v>
      </c>
      <c r="AA30" s="9">
        <v>1.66</v>
      </c>
      <c r="AB30" s="9">
        <v>16.21</v>
      </c>
      <c r="AC30" s="9">
        <v>195.09</v>
      </c>
      <c r="AD30" s="9">
        <v>26.3</v>
      </c>
      <c r="AE30" s="9">
        <v>44.7</v>
      </c>
      <c r="AF30" s="9">
        <v>77.16</v>
      </c>
      <c r="AG30" s="9">
        <v>30.78</v>
      </c>
      <c r="AH30" s="22">
        <v>1.016</v>
      </c>
      <c r="AI30" s="9">
        <v>0.57299999999999995</v>
      </c>
      <c r="AJ30" s="1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</row>
    <row r="31" spans="1:956">
      <c r="A31" s="15">
        <v>30</v>
      </c>
      <c r="B31" s="8">
        <v>2</v>
      </c>
      <c r="C31" s="9">
        <v>600</v>
      </c>
      <c r="D31" s="9">
        <f t="shared" si="2"/>
        <v>12.26771653543307</v>
      </c>
      <c r="E31" s="9">
        <f t="shared" si="3"/>
        <v>0.26771653543307089</v>
      </c>
      <c r="F31" s="9">
        <f t="shared" si="0"/>
        <v>472.44094488188978</v>
      </c>
      <c r="G31" s="9">
        <f t="shared" si="1"/>
        <v>7360.6299212598424</v>
      </c>
      <c r="H31" s="8">
        <v>12</v>
      </c>
      <c r="I31" s="9" t="s">
        <v>25</v>
      </c>
      <c r="J31" s="9">
        <v>4.3</v>
      </c>
      <c r="K31" s="9">
        <v>7.56</v>
      </c>
      <c r="L31" s="9">
        <v>15.58</v>
      </c>
      <c r="M31" s="9">
        <v>1.27</v>
      </c>
      <c r="N31" s="9">
        <v>0.34</v>
      </c>
      <c r="O31" s="9">
        <v>0.36</v>
      </c>
      <c r="P31" s="9">
        <v>0</v>
      </c>
      <c r="Q31" s="9">
        <v>0.01</v>
      </c>
      <c r="R31" s="9">
        <v>6.36</v>
      </c>
      <c r="S31" s="18">
        <v>84</v>
      </c>
      <c r="T31" s="9">
        <v>0.28000000000000003</v>
      </c>
      <c r="U31" s="9">
        <v>0.1</v>
      </c>
      <c r="V31" s="22">
        <v>8.9999999999999993E-3</v>
      </c>
      <c r="W31" s="9">
        <v>155.9</v>
      </c>
      <c r="X31" s="9">
        <v>5.4</v>
      </c>
      <c r="Y31" s="9">
        <v>122.8</v>
      </c>
      <c r="Z31" s="9">
        <v>2.58</v>
      </c>
      <c r="AA31" s="9">
        <v>1.54</v>
      </c>
      <c r="AB31" s="9">
        <v>23.48</v>
      </c>
      <c r="AC31" s="9">
        <v>246.24</v>
      </c>
      <c r="AD31" s="9">
        <v>10.9</v>
      </c>
      <c r="AE31" s="9">
        <v>53.9</v>
      </c>
      <c r="AF31" s="9">
        <v>78.989999999999995</v>
      </c>
      <c r="AG31" s="9">
        <v>25.81</v>
      </c>
      <c r="AH31" s="22">
        <v>1.02</v>
      </c>
      <c r="AI31" s="9">
        <v>1.1200000000000001</v>
      </c>
      <c r="AJ31" s="1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</row>
    <row r="32" spans="1:956">
      <c r="A32" s="15">
        <v>31</v>
      </c>
      <c r="B32" s="8">
        <v>2</v>
      </c>
      <c r="C32" s="9">
        <v>275</v>
      </c>
      <c r="D32" s="9">
        <f t="shared" si="2"/>
        <v>2.6434426229508197</v>
      </c>
      <c r="E32" s="9">
        <f t="shared" si="3"/>
        <v>8.1967213114754106E-2</v>
      </c>
      <c r="F32" s="9">
        <f t="shared" si="0"/>
        <v>112.70491803278689</v>
      </c>
      <c r="G32" s="9">
        <f t="shared" si="1"/>
        <v>726.94672131147547</v>
      </c>
      <c r="H32" s="8">
        <v>5</v>
      </c>
      <c r="I32" s="9" t="s">
        <v>25</v>
      </c>
      <c r="J32" s="9">
        <v>4.9000000000000004</v>
      </c>
      <c r="K32" s="9">
        <v>10.130000000000001</v>
      </c>
      <c r="L32" s="9">
        <v>6.45</v>
      </c>
      <c r="M32" s="9">
        <v>2.44</v>
      </c>
      <c r="N32" s="9">
        <v>0.2</v>
      </c>
      <c r="O32" s="9">
        <v>1.02</v>
      </c>
      <c r="P32" s="9">
        <v>0.01</v>
      </c>
      <c r="Q32" s="9">
        <v>0.02</v>
      </c>
      <c r="R32" s="9">
        <v>7.96</v>
      </c>
      <c r="S32" s="18">
        <v>106</v>
      </c>
      <c r="T32" s="9">
        <v>0.33</v>
      </c>
      <c r="U32" s="9">
        <v>0.4</v>
      </c>
      <c r="V32" s="22">
        <v>3.1E-2</v>
      </c>
      <c r="W32" s="9">
        <v>152.6</v>
      </c>
      <c r="X32" s="9">
        <v>3.7</v>
      </c>
      <c r="Y32" s="9">
        <v>121.5</v>
      </c>
      <c r="Z32" s="9">
        <v>2.52</v>
      </c>
      <c r="AA32" s="9">
        <v>1.08</v>
      </c>
      <c r="AB32" s="9">
        <v>8.9</v>
      </c>
      <c r="AC32" s="9">
        <v>144.37</v>
      </c>
      <c r="AD32" s="9">
        <v>19.399999999999999</v>
      </c>
      <c r="AE32" s="9">
        <v>55.7</v>
      </c>
      <c r="AF32" s="9">
        <v>67.77</v>
      </c>
      <c r="AG32" s="9">
        <v>25.8</v>
      </c>
      <c r="AH32" s="22">
        <v>1.0620000000000001</v>
      </c>
      <c r="AI32" s="9">
        <v>0.89</v>
      </c>
      <c r="AJ32" s="1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</row>
    <row r="33" spans="1:956">
      <c r="A33" s="15">
        <v>32</v>
      </c>
      <c r="B33" s="7">
        <v>2</v>
      </c>
      <c r="C33" s="7">
        <v>161</v>
      </c>
      <c r="D33" s="9">
        <f t="shared" si="2"/>
        <v>1.164179104477612</v>
      </c>
      <c r="E33" s="9">
        <f t="shared" si="3"/>
        <v>3.3582089552238806E-2</v>
      </c>
      <c r="F33" s="9">
        <f t="shared" si="0"/>
        <v>60.07462686567164</v>
      </c>
      <c r="G33" s="9">
        <f t="shared" si="1"/>
        <v>187.43283582089552</v>
      </c>
      <c r="H33" s="7">
        <v>2</v>
      </c>
      <c r="I33" s="7" t="s">
        <v>25</v>
      </c>
      <c r="J33" s="7">
        <v>5.2</v>
      </c>
      <c r="K33" s="7">
        <v>6.67</v>
      </c>
      <c r="L33" s="7">
        <v>3.12</v>
      </c>
      <c r="M33" s="7">
        <v>2.68</v>
      </c>
      <c r="N33" s="7">
        <v>0.09</v>
      </c>
      <c r="O33" s="7">
        <v>0.77</v>
      </c>
      <c r="P33" s="7">
        <v>0</v>
      </c>
      <c r="Q33" s="7">
        <v>0</v>
      </c>
      <c r="R33" s="9">
        <v>9.75</v>
      </c>
      <c r="S33" s="18">
        <v>139</v>
      </c>
      <c r="T33" s="7">
        <v>0.45</v>
      </c>
      <c r="U33" s="7">
        <v>0.6</v>
      </c>
      <c r="V33" s="22">
        <v>6.0999999999999999E-2</v>
      </c>
      <c r="W33" s="7">
        <v>157.80000000000001</v>
      </c>
      <c r="X33" s="7">
        <v>4.1100000000000003</v>
      </c>
      <c r="Y33" s="7">
        <v>124.6</v>
      </c>
      <c r="Z33" s="7">
        <v>2.59</v>
      </c>
      <c r="AA33" s="7">
        <v>1.41</v>
      </c>
      <c r="AB33" s="7">
        <v>10.050000000000001</v>
      </c>
      <c r="AC33" s="7">
        <v>143.69999999999999</v>
      </c>
      <c r="AD33" s="7">
        <v>21.8</v>
      </c>
      <c r="AE33" s="18">
        <v>56</v>
      </c>
      <c r="AF33" s="7">
        <v>72.599999999999994</v>
      </c>
      <c r="AG33" s="7">
        <v>38.700000000000003</v>
      </c>
      <c r="AH33" s="22">
        <v>1.0640000000000001</v>
      </c>
      <c r="AI33" s="7">
        <v>8.2400000000000001E-2</v>
      </c>
      <c r="AJ33" s="19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</row>
    <row r="34" spans="1:956">
      <c r="A34" s="15">
        <v>33</v>
      </c>
      <c r="B34" s="7">
        <v>2</v>
      </c>
      <c r="C34" s="8">
        <v>253</v>
      </c>
      <c r="D34" s="9">
        <f t="shared" si="2"/>
        <v>1.890625</v>
      </c>
      <c r="E34" s="9">
        <f t="shared" si="3"/>
        <v>6.7708333333333343E-2</v>
      </c>
      <c r="F34" s="9">
        <f t="shared" ref="F34:F63" si="4">C34/M34</f>
        <v>131.77083333333334</v>
      </c>
      <c r="G34" s="9">
        <f t="shared" ref="G34:G63" si="5">C34*L34/M34</f>
        <v>478.328125</v>
      </c>
      <c r="H34" s="7">
        <v>2</v>
      </c>
      <c r="I34" s="7" t="s">
        <v>27</v>
      </c>
      <c r="J34" s="9">
        <v>3.5</v>
      </c>
      <c r="K34" s="9">
        <v>6.61</v>
      </c>
      <c r="L34" s="7">
        <v>3.63</v>
      </c>
      <c r="M34" s="9">
        <v>1.92</v>
      </c>
      <c r="N34" s="7">
        <v>0.13</v>
      </c>
      <c r="O34" s="9">
        <v>0.92</v>
      </c>
      <c r="P34" s="7">
        <v>0</v>
      </c>
      <c r="Q34" s="8">
        <v>0</v>
      </c>
      <c r="R34" s="9">
        <v>9.73</v>
      </c>
      <c r="S34" s="18">
        <v>136</v>
      </c>
      <c r="T34" s="7">
        <v>0.42</v>
      </c>
      <c r="U34" s="7">
        <v>0.8</v>
      </c>
      <c r="V34" s="22">
        <v>0.08</v>
      </c>
      <c r="W34" s="8">
        <v>156.9</v>
      </c>
      <c r="X34" s="7">
        <v>4.07</v>
      </c>
      <c r="Y34" s="8">
        <v>121.7</v>
      </c>
      <c r="Z34" s="7">
        <v>2.5299999999999998</v>
      </c>
      <c r="AA34" s="8">
        <v>1.23</v>
      </c>
      <c r="AB34" s="7">
        <v>12.3</v>
      </c>
      <c r="AC34" s="18">
        <v>178</v>
      </c>
      <c r="AD34" s="7">
        <v>23.5</v>
      </c>
      <c r="AE34" s="7">
        <v>36.200000000000003</v>
      </c>
      <c r="AF34" s="7">
        <v>68.900000000000006</v>
      </c>
      <c r="AG34" s="18">
        <v>37</v>
      </c>
      <c r="AH34" s="22">
        <v>1.038</v>
      </c>
      <c r="AI34" s="7">
        <v>6.0999999999999999E-2</v>
      </c>
    </row>
    <row r="35" spans="1:956">
      <c r="A35" s="15">
        <v>34</v>
      </c>
      <c r="B35" s="7">
        <v>2</v>
      </c>
      <c r="C35" s="7">
        <v>136</v>
      </c>
      <c r="D35" s="9">
        <f t="shared" si="2"/>
        <v>4.1047619047619044</v>
      </c>
      <c r="E35" s="9">
        <f t="shared" si="3"/>
        <v>0.12380952380952381</v>
      </c>
      <c r="F35" s="9">
        <f t="shared" si="4"/>
        <v>129.52380952380952</v>
      </c>
      <c r="G35" s="9">
        <f t="shared" si="5"/>
        <v>558.24761904761897</v>
      </c>
      <c r="H35" s="7">
        <v>10</v>
      </c>
      <c r="I35" s="7" t="s">
        <v>27</v>
      </c>
      <c r="J35" s="9">
        <v>5.6</v>
      </c>
      <c r="K35" s="7">
        <v>5.65</v>
      </c>
      <c r="L35" s="7">
        <v>4.3099999999999996</v>
      </c>
      <c r="M35" s="7">
        <v>1.05</v>
      </c>
      <c r="N35" s="7">
        <v>0.13</v>
      </c>
      <c r="O35" s="7">
        <v>0.11</v>
      </c>
      <c r="P35" s="7">
        <v>0.05</v>
      </c>
      <c r="Q35" s="7">
        <v>0</v>
      </c>
      <c r="R35" s="9">
        <v>9.42</v>
      </c>
      <c r="S35" s="18">
        <v>144</v>
      </c>
      <c r="T35" s="7">
        <v>0.46</v>
      </c>
      <c r="U35" s="7">
        <v>0.6</v>
      </c>
      <c r="V35" s="22">
        <v>6.0999999999999999E-2</v>
      </c>
      <c r="W35" s="7">
        <v>152.69999999999999</v>
      </c>
      <c r="X35" s="7">
        <v>4.38</v>
      </c>
      <c r="Y35" s="7">
        <v>119.7</v>
      </c>
      <c r="Z35" s="7">
        <v>2.5099999999999998</v>
      </c>
      <c r="AA35" s="7">
        <v>1.49</v>
      </c>
      <c r="AB35" s="7">
        <v>9.6</v>
      </c>
      <c r="AC35" s="7">
        <v>191</v>
      </c>
      <c r="AD35" s="7">
        <v>30</v>
      </c>
      <c r="AE35" s="7">
        <v>50.8</v>
      </c>
      <c r="AF35" s="7">
        <v>79.7</v>
      </c>
      <c r="AG35" s="7">
        <v>37.4</v>
      </c>
      <c r="AH35" s="22">
        <v>1.054</v>
      </c>
      <c r="AI35" s="7">
        <v>8.3299999999999999E-2</v>
      </c>
    </row>
    <row r="36" spans="1:956">
      <c r="A36" s="15">
        <v>35</v>
      </c>
      <c r="B36" s="15">
        <v>2</v>
      </c>
      <c r="C36" s="15">
        <v>218</v>
      </c>
      <c r="D36" s="9">
        <f t="shared" si="2"/>
        <v>3.405263157894737</v>
      </c>
      <c r="E36" s="9">
        <f t="shared" si="3"/>
        <v>0.18421052631578946</v>
      </c>
      <c r="F36" s="9">
        <f t="shared" si="4"/>
        <v>114.73684210526316</v>
      </c>
      <c r="G36" s="9">
        <f t="shared" si="5"/>
        <v>742.34736842105269</v>
      </c>
      <c r="H36" s="15">
        <v>16</v>
      </c>
      <c r="I36" s="15" t="s">
        <v>28</v>
      </c>
      <c r="J36" s="15">
        <v>3.9</v>
      </c>
      <c r="K36" s="15">
        <v>8.9</v>
      </c>
      <c r="L36" s="9">
        <v>6.47</v>
      </c>
      <c r="M36" s="9">
        <v>1.9</v>
      </c>
      <c r="N36" s="9">
        <v>0.35</v>
      </c>
      <c r="O36" s="9">
        <v>0.15</v>
      </c>
      <c r="P36" s="9">
        <v>0</v>
      </c>
      <c r="Q36" s="9">
        <v>0.02</v>
      </c>
      <c r="R36" s="16">
        <v>7.69</v>
      </c>
      <c r="S36" s="17">
        <v>110</v>
      </c>
      <c r="T36" s="15">
        <v>0.39</v>
      </c>
      <c r="U36" s="15">
        <v>0.1</v>
      </c>
      <c r="V36" s="15"/>
      <c r="W36" s="15">
        <v>156.1</v>
      </c>
      <c r="X36" s="15">
        <v>5.33</v>
      </c>
      <c r="Y36" s="15">
        <v>120.9</v>
      </c>
      <c r="Z36" s="15">
        <v>2.5</v>
      </c>
      <c r="AA36" s="15">
        <v>1.49</v>
      </c>
      <c r="AB36" s="15">
        <v>16.850000000000001</v>
      </c>
      <c r="AC36" s="15">
        <v>180.5</v>
      </c>
      <c r="AD36" s="15">
        <v>26.9</v>
      </c>
      <c r="AE36" s="15">
        <v>63.6</v>
      </c>
      <c r="AF36" s="15">
        <v>68.33</v>
      </c>
      <c r="AG36" s="15">
        <v>29.2</v>
      </c>
      <c r="AH36" s="15"/>
      <c r="AI36" s="15"/>
    </row>
    <row r="37" spans="1:956">
      <c r="A37" s="15">
        <v>36</v>
      </c>
      <c r="B37" s="15">
        <v>2</v>
      </c>
      <c r="C37" s="15">
        <v>239</v>
      </c>
      <c r="D37" s="9">
        <f t="shared" si="2"/>
        <v>5.84375</v>
      </c>
      <c r="E37" s="9">
        <f t="shared" si="3"/>
        <v>0.296875</v>
      </c>
      <c r="F37" s="9">
        <f t="shared" si="4"/>
        <v>373.4375</v>
      </c>
      <c r="G37" s="9">
        <f t="shared" si="5"/>
        <v>1396.65625</v>
      </c>
      <c r="H37" s="15">
        <v>20</v>
      </c>
      <c r="I37" s="15" t="s">
        <v>29</v>
      </c>
      <c r="J37" s="15">
        <v>2.78</v>
      </c>
      <c r="K37" s="15">
        <v>4.91</v>
      </c>
      <c r="L37" s="9">
        <v>3.74</v>
      </c>
      <c r="M37" s="9">
        <v>0.64</v>
      </c>
      <c r="N37" s="9">
        <v>0.19</v>
      </c>
      <c r="O37" s="9">
        <v>0.33</v>
      </c>
      <c r="P37" s="9">
        <v>0</v>
      </c>
      <c r="Q37" s="9">
        <v>0.01</v>
      </c>
      <c r="R37" s="16">
        <v>6.2</v>
      </c>
      <c r="S37" s="17">
        <v>76</v>
      </c>
      <c r="T37" s="15">
        <v>0.27</v>
      </c>
      <c r="U37" s="15">
        <v>0.4</v>
      </c>
      <c r="V37" s="15"/>
      <c r="W37" s="15">
        <v>160.1</v>
      </c>
      <c r="X37" s="15">
        <v>3.89</v>
      </c>
      <c r="Y37" s="15">
        <v>127</v>
      </c>
      <c r="Z37" s="15">
        <v>2.95</v>
      </c>
      <c r="AA37" s="15">
        <v>1.69</v>
      </c>
      <c r="AB37" s="15">
        <v>17.8</v>
      </c>
      <c r="AC37" s="15">
        <v>231.5</v>
      </c>
      <c r="AD37" s="15">
        <v>13.4</v>
      </c>
      <c r="AE37" s="15">
        <v>131</v>
      </c>
      <c r="AF37" s="15">
        <v>74.81</v>
      </c>
      <c r="AG37" s="15">
        <v>30.96</v>
      </c>
      <c r="AH37" s="15">
        <v>1.024</v>
      </c>
      <c r="AI37" s="15">
        <v>0.3075</v>
      </c>
    </row>
    <row r="38" spans="1:956">
      <c r="A38" s="15">
        <v>37</v>
      </c>
      <c r="B38" s="15">
        <v>2</v>
      </c>
      <c r="C38" s="15">
        <v>532</v>
      </c>
      <c r="D38" s="9">
        <f t="shared" si="2"/>
        <v>3.234726688102894</v>
      </c>
      <c r="E38" s="9">
        <f t="shared" si="3"/>
        <v>0.1672025723472669</v>
      </c>
      <c r="F38" s="9">
        <f t="shared" si="4"/>
        <v>171.06109324758845</v>
      </c>
      <c r="G38" s="9">
        <f t="shared" si="5"/>
        <v>1720.8745980707397</v>
      </c>
      <c r="H38" s="15">
        <v>4.5</v>
      </c>
      <c r="I38" s="15" t="s">
        <v>30</v>
      </c>
      <c r="J38" s="15">
        <v>4</v>
      </c>
      <c r="K38" s="15">
        <v>16.2</v>
      </c>
      <c r="L38" s="9">
        <v>10.06</v>
      </c>
      <c r="M38" s="9">
        <v>3.11</v>
      </c>
      <c r="N38" s="9">
        <v>0.52</v>
      </c>
      <c r="O38" s="9">
        <v>2.46</v>
      </c>
      <c r="P38" s="9">
        <v>0.01</v>
      </c>
      <c r="Q38" s="9">
        <v>0.03</v>
      </c>
      <c r="R38" s="16">
        <v>9.0500000000000007</v>
      </c>
      <c r="S38" s="17">
        <v>116</v>
      </c>
      <c r="T38" s="15">
        <v>0.4</v>
      </c>
      <c r="U38" s="15">
        <v>0.6</v>
      </c>
      <c r="V38" s="15"/>
      <c r="W38" s="15">
        <v>150.80000000000001</v>
      </c>
      <c r="X38" s="15">
        <v>5.0599999999999996</v>
      </c>
      <c r="Y38" s="15">
        <v>116.7</v>
      </c>
      <c r="Z38" s="15">
        <v>2.61</v>
      </c>
      <c r="AA38" s="15">
        <v>1.52</v>
      </c>
      <c r="AB38" s="15">
        <v>12.81</v>
      </c>
      <c r="AC38" s="15">
        <v>148.53</v>
      </c>
      <c r="AD38" s="15">
        <v>26.7</v>
      </c>
      <c r="AE38" s="15">
        <v>61.3</v>
      </c>
      <c r="AF38" s="15">
        <v>83.13</v>
      </c>
      <c r="AG38" s="15">
        <v>30.27</v>
      </c>
      <c r="AH38" s="15">
        <v>1.024</v>
      </c>
      <c r="AI38" s="15">
        <v>0.25700000000000001</v>
      </c>
    </row>
    <row r="39" spans="1:956">
      <c r="A39" s="15">
        <v>38</v>
      </c>
      <c r="B39" s="7">
        <v>2</v>
      </c>
      <c r="C39" s="7">
        <v>302</v>
      </c>
      <c r="D39" s="9">
        <f t="shared" si="2"/>
        <v>1.4034482758620692</v>
      </c>
      <c r="E39" s="9">
        <f t="shared" si="3"/>
        <v>0.11034482758620691</v>
      </c>
      <c r="F39" s="9">
        <f t="shared" si="4"/>
        <v>104.13793103448276</v>
      </c>
      <c r="G39" s="9">
        <f t="shared" si="5"/>
        <v>423.84137931034485</v>
      </c>
      <c r="H39" s="15">
        <v>12</v>
      </c>
      <c r="I39" s="15" t="s">
        <v>28</v>
      </c>
      <c r="J39" s="15">
        <v>9.1</v>
      </c>
      <c r="K39" s="7">
        <v>10.06</v>
      </c>
      <c r="L39" s="7">
        <v>4.07</v>
      </c>
      <c r="M39" s="7">
        <v>2.9</v>
      </c>
      <c r="N39" s="7">
        <v>0.32</v>
      </c>
      <c r="O39" s="9">
        <v>1.63</v>
      </c>
      <c r="P39" s="9">
        <v>0.02</v>
      </c>
      <c r="Q39" s="9">
        <v>0</v>
      </c>
      <c r="R39" s="16">
        <v>13.13</v>
      </c>
      <c r="S39" s="17">
        <v>160</v>
      </c>
      <c r="T39" s="15">
        <v>0.47</v>
      </c>
      <c r="U39" s="15">
        <v>0.3</v>
      </c>
      <c r="V39" s="15">
        <v>4.1000000000000002E-2</v>
      </c>
      <c r="W39" s="15"/>
      <c r="X39" s="15"/>
      <c r="Y39" s="15"/>
      <c r="Z39" s="15"/>
      <c r="AA39" s="15"/>
      <c r="AB39" s="7">
        <v>13.99</v>
      </c>
      <c r="AC39" s="7">
        <v>186.29</v>
      </c>
      <c r="AD39" s="15"/>
      <c r="AE39" s="15">
        <v>69.489999999999995</v>
      </c>
      <c r="AF39" s="15"/>
      <c r="AG39" s="15"/>
      <c r="AH39" s="15"/>
      <c r="AI39" s="15"/>
      <c r="AJ39" s="1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</row>
    <row r="40" spans="1:956">
      <c r="A40" s="15">
        <v>39</v>
      </c>
      <c r="B40" s="7">
        <v>2</v>
      </c>
      <c r="C40" s="7">
        <v>80</v>
      </c>
      <c r="D40" s="9">
        <f t="shared" si="2"/>
        <v>0.98449612403100772</v>
      </c>
      <c r="E40" s="9">
        <f t="shared" si="3"/>
        <v>6.589147286821706E-2</v>
      </c>
      <c r="F40" s="9">
        <f t="shared" si="4"/>
        <v>31.007751937984494</v>
      </c>
      <c r="G40" s="9">
        <f t="shared" si="5"/>
        <v>78.759689922480618</v>
      </c>
      <c r="H40" s="15">
        <v>14</v>
      </c>
      <c r="I40" s="15" t="s">
        <v>28</v>
      </c>
      <c r="J40" s="15">
        <v>3.8</v>
      </c>
      <c r="K40" s="7">
        <v>5.59</v>
      </c>
      <c r="L40" s="7">
        <v>2.54</v>
      </c>
      <c r="M40" s="7">
        <v>2.58</v>
      </c>
      <c r="N40" s="7">
        <v>0.17</v>
      </c>
      <c r="O40" s="9">
        <v>5.2</v>
      </c>
      <c r="P40" s="9">
        <v>0.01</v>
      </c>
      <c r="Q40" s="9">
        <v>0.01</v>
      </c>
      <c r="R40" s="16">
        <v>11.5</v>
      </c>
      <c r="S40" s="17">
        <v>148</v>
      </c>
      <c r="T40" s="15">
        <v>0.43</v>
      </c>
      <c r="U40" s="15">
        <v>0.2</v>
      </c>
      <c r="V40" s="15">
        <v>2.5000000000000001E-2</v>
      </c>
      <c r="W40" s="15">
        <v>152.5</v>
      </c>
      <c r="X40" s="15">
        <v>4.28</v>
      </c>
      <c r="Y40" s="15">
        <v>116.3</v>
      </c>
      <c r="Z40" s="15"/>
      <c r="AA40" s="15"/>
      <c r="AB40" s="7">
        <v>21.96</v>
      </c>
      <c r="AC40" s="7">
        <v>239.18</v>
      </c>
      <c r="AD40" s="15">
        <v>21.94</v>
      </c>
      <c r="AE40" s="15">
        <v>61.46</v>
      </c>
      <c r="AF40" s="15">
        <v>77.510000000000005</v>
      </c>
      <c r="AG40" s="15">
        <v>36.56</v>
      </c>
      <c r="AH40" s="15"/>
      <c r="AI40" s="15"/>
      <c r="AJ40" s="1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</row>
    <row r="41" spans="1:956">
      <c r="A41" s="15">
        <v>40</v>
      </c>
      <c r="B41" s="7">
        <v>2</v>
      </c>
      <c r="C41" s="7">
        <v>552</v>
      </c>
      <c r="D41" s="9">
        <f t="shared" si="2"/>
        <v>1.8746268656716418</v>
      </c>
      <c r="E41" s="9">
        <f t="shared" si="3"/>
        <v>0.12835820895522387</v>
      </c>
      <c r="F41" s="9">
        <f t="shared" si="4"/>
        <v>164.77611940298507</v>
      </c>
      <c r="G41" s="9">
        <f t="shared" si="5"/>
        <v>1034.7940298507463</v>
      </c>
      <c r="H41" s="15"/>
      <c r="I41" s="15" t="s">
        <v>27</v>
      </c>
      <c r="J41" s="15"/>
      <c r="K41" s="7">
        <v>10.83</v>
      </c>
      <c r="L41" s="7">
        <v>6.28</v>
      </c>
      <c r="M41" s="7">
        <v>3.35</v>
      </c>
      <c r="N41" s="7">
        <v>0.43</v>
      </c>
      <c r="O41" s="9">
        <v>0.76</v>
      </c>
      <c r="P41" s="9">
        <v>0</v>
      </c>
      <c r="Q41" s="9">
        <v>0.01</v>
      </c>
      <c r="R41" s="16">
        <v>8.65</v>
      </c>
      <c r="S41" s="17">
        <v>115</v>
      </c>
      <c r="T41" s="15">
        <v>0.35</v>
      </c>
      <c r="U41" s="15">
        <v>0.3</v>
      </c>
      <c r="V41" s="15">
        <v>2.9000000000000001E-2</v>
      </c>
      <c r="W41" s="15"/>
      <c r="X41" s="15"/>
      <c r="Y41" s="15"/>
      <c r="Z41" s="15"/>
      <c r="AA41" s="15"/>
      <c r="AB41" s="7">
        <v>14.39</v>
      </c>
      <c r="AC41" s="7">
        <v>178.72</v>
      </c>
      <c r="AD41" s="15"/>
      <c r="AE41" s="15">
        <v>115.52</v>
      </c>
      <c r="AF41" s="15"/>
      <c r="AG41" s="15"/>
      <c r="AH41" s="15"/>
      <c r="AI41" s="15"/>
      <c r="AJ41" s="1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</row>
    <row r="42" spans="1:956">
      <c r="A42" s="15">
        <v>41</v>
      </c>
      <c r="B42" s="7">
        <v>2</v>
      </c>
      <c r="C42" s="7">
        <v>248</v>
      </c>
      <c r="D42" s="9">
        <f t="shared" si="2"/>
        <v>1.6871794871794872</v>
      </c>
      <c r="E42" s="9">
        <f t="shared" si="3"/>
        <v>0.35897435897435898</v>
      </c>
      <c r="F42" s="9">
        <f t="shared" si="4"/>
        <v>127.17948717948718</v>
      </c>
      <c r="G42" s="9">
        <f t="shared" si="5"/>
        <v>418.42051282051278</v>
      </c>
      <c r="H42" s="15">
        <v>9</v>
      </c>
      <c r="I42" s="15" t="s">
        <v>31</v>
      </c>
      <c r="J42" s="15">
        <v>5.66</v>
      </c>
      <c r="K42" s="7">
        <v>6.18</v>
      </c>
      <c r="L42" s="7">
        <v>3.29</v>
      </c>
      <c r="M42" s="7">
        <v>1.95</v>
      </c>
      <c r="N42" s="7">
        <v>0.7</v>
      </c>
      <c r="O42" s="9">
        <v>0.23</v>
      </c>
      <c r="P42" s="9">
        <v>0</v>
      </c>
      <c r="Q42" s="9">
        <v>0</v>
      </c>
      <c r="R42" s="16">
        <v>8.3000000000000007</v>
      </c>
      <c r="S42" s="17">
        <v>126</v>
      </c>
      <c r="T42" s="15">
        <v>0.35</v>
      </c>
      <c r="U42" s="15">
        <v>0.3</v>
      </c>
      <c r="V42" s="15">
        <v>2.3E-2</v>
      </c>
      <c r="W42" s="15"/>
      <c r="X42" s="15"/>
      <c r="Y42" s="15"/>
      <c r="Z42" s="15"/>
      <c r="AA42" s="15"/>
      <c r="AB42" s="7">
        <v>12.91</v>
      </c>
      <c r="AC42" s="7">
        <v>164.08</v>
      </c>
      <c r="AD42" s="15">
        <v>49.12</v>
      </c>
      <c r="AE42" s="15">
        <v>167.13</v>
      </c>
      <c r="AG42" s="15"/>
      <c r="AH42" s="15"/>
      <c r="AI42" s="15"/>
      <c r="AJ42" s="1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</row>
    <row r="43" spans="1:956">
      <c r="A43" s="15">
        <v>42</v>
      </c>
      <c r="B43" s="7">
        <v>2</v>
      </c>
      <c r="C43" s="7">
        <v>413</v>
      </c>
      <c r="D43" s="9">
        <f t="shared" si="2"/>
        <v>2.2462908011869436</v>
      </c>
      <c r="E43" s="9">
        <f t="shared" si="3"/>
        <v>0.13056379821958455</v>
      </c>
      <c r="F43" s="9">
        <f t="shared" si="4"/>
        <v>122.55192878338279</v>
      </c>
      <c r="G43" s="9">
        <f t="shared" si="5"/>
        <v>927.71810089020778</v>
      </c>
      <c r="H43" s="15">
        <v>14</v>
      </c>
      <c r="I43" s="15" t="s">
        <v>30</v>
      </c>
      <c r="J43" s="15">
        <v>3.85</v>
      </c>
      <c r="K43" s="7">
        <v>12.27</v>
      </c>
      <c r="L43" s="7">
        <v>7.57</v>
      </c>
      <c r="M43" s="7">
        <v>3.37</v>
      </c>
      <c r="N43" s="7">
        <v>0.44</v>
      </c>
      <c r="O43" s="9">
        <v>0.87</v>
      </c>
      <c r="P43" s="9">
        <v>0</v>
      </c>
      <c r="Q43" s="9">
        <v>0.01</v>
      </c>
      <c r="R43" s="16">
        <v>8.98</v>
      </c>
      <c r="S43" s="17">
        <v>134</v>
      </c>
      <c r="T43" s="15">
        <v>0.4</v>
      </c>
      <c r="U43" s="15">
        <v>0.3</v>
      </c>
      <c r="V43" s="15">
        <v>2.3E-2</v>
      </c>
      <c r="W43" s="15"/>
      <c r="X43" s="15"/>
      <c r="Y43" s="15"/>
      <c r="Z43" s="15"/>
      <c r="AA43" s="15"/>
      <c r="AB43" s="7">
        <v>14.29</v>
      </c>
      <c r="AC43" s="7">
        <v>240.29</v>
      </c>
      <c r="AD43" s="15"/>
      <c r="AE43" s="15"/>
      <c r="AF43" s="15"/>
      <c r="AG43" s="15"/>
      <c r="AH43" s="15"/>
      <c r="AI43" s="15"/>
      <c r="AJ43" s="1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</row>
    <row r="44" spans="1:956">
      <c r="A44" s="15">
        <v>43</v>
      </c>
      <c r="B44" s="8">
        <v>1</v>
      </c>
      <c r="C44" s="9">
        <v>80</v>
      </c>
      <c r="D44" s="9">
        <f t="shared" si="2"/>
        <v>2.2581967213114753</v>
      </c>
      <c r="E44" s="9">
        <f t="shared" si="3"/>
        <v>6.5573770491803282E-2</v>
      </c>
      <c r="F44" s="9">
        <f t="shared" si="4"/>
        <v>32.786885245901637</v>
      </c>
      <c r="G44" s="9">
        <f t="shared" si="5"/>
        <v>180.65573770491801</v>
      </c>
      <c r="H44" s="8">
        <v>5</v>
      </c>
      <c r="I44" s="9" t="s">
        <v>25</v>
      </c>
      <c r="J44" s="9">
        <v>5</v>
      </c>
      <c r="K44" s="9">
        <v>7.78</v>
      </c>
      <c r="L44" s="9">
        <v>5.51</v>
      </c>
      <c r="M44" s="9">
        <v>2.44</v>
      </c>
      <c r="N44" s="9">
        <v>0.16</v>
      </c>
      <c r="O44" s="9">
        <v>0.66</v>
      </c>
      <c r="P44" s="9">
        <v>0</v>
      </c>
      <c r="Q44" s="9">
        <v>0.01</v>
      </c>
      <c r="R44" s="9">
        <v>8.1999999999999993</v>
      </c>
      <c r="S44" s="18">
        <v>111</v>
      </c>
      <c r="T44" s="9">
        <v>0.37</v>
      </c>
      <c r="U44" s="9">
        <v>0.7</v>
      </c>
      <c r="V44" s="22">
        <v>5.8999999999999997E-2</v>
      </c>
      <c r="W44" s="9">
        <v>154.80000000000001</v>
      </c>
      <c r="X44" s="9">
        <v>4.3</v>
      </c>
      <c r="Y44" s="9">
        <v>124</v>
      </c>
      <c r="Z44" s="9">
        <v>2.5299999999999998</v>
      </c>
      <c r="AA44" s="9">
        <v>1.17</v>
      </c>
      <c r="AB44" s="9">
        <v>10.75</v>
      </c>
      <c r="AC44" s="9">
        <v>142.35</v>
      </c>
      <c r="AD44" s="9">
        <v>13.9</v>
      </c>
      <c r="AE44" s="9">
        <v>45</v>
      </c>
      <c r="AF44" s="9">
        <v>78.23</v>
      </c>
      <c r="AG44" s="9">
        <v>29.75</v>
      </c>
      <c r="AH44" s="22">
        <v>1.07</v>
      </c>
      <c r="AI44" s="9">
        <v>0.15</v>
      </c>
    </row>
    <row r="45" spans="1:956">
      <c r="A45" s="15">
        <v>44</v>
      </c>
      <c r="B45" s="8">
        <v>1</v>
      </c>
      <c r="C45" s="9">
        <v>175</v>
      </c>
      <c r="D45" s="9">
        <f t="shared" si="2"/>
        <v>1.8023952095808382</v>
      </c>
      <c r="E45" s="9">
        <f t="shared" si="3"/>
        <v>4.790419161676647E-2</v>
      </c>
      <c r="F45" s="9">
        <f t="shared" si="4"/>
        <v>104.79041916167665</v>
      </c>
      <c r="G45" s="9">
        <f t="shared" si="5"/>
        <v>315.4191616766467</v>
      </c>
      <c r="H45" s="8">
        <v>12</v>
      </c>
      <c r="I45" s="9" t="s">
        <v>27</v>
      </c>
      <c r="J45" s="9">
        <v>4.0999999999999996</v>
      </c>
      <c r="K45" s="9">
        <v>5.15</v>
      </c>
      <c r="L45" s="9">
        <v>3.01</v>
      </c>
      <c r="M45" s="9">
        <v>1.67</v>
      </c>
      <c r="N45" s="9">
        <v>0.08</v>
      </c>
      <c r="O45" s="9">
        <v>0.39</v>
      </c>
      <c r="P45" s="9">
        <v>0</v>
      </c>
      <c r="Q45" s="9">
        <v>0</v>
      </c>
      <c r="R45" s="9">
        <v>9.5399999999999991</v>
      </c>
      <c r="S45" s="18">
        <v>133</v>
      </c>
      <c r="T45" s="9">
        <v>0.44</v>
      </c>
      <c r="U45" s="9">
        <v>0.4</v>
      </c>
      <c r="V45" s="22">
        <v>0.04</v>
      </c>
      <c r="W45" s="9">
        <v>154.1</v>
      </c>
      <c r="X45" s="9">
        <v>4.59</v>
      </c>
      <c r="Y45" s="9">
        <v>122.4</v>
      </c>
      <c r="Z45" s="9">
        <v>2.58</v>
      </c>
      <c r="AA45" s="9">
        <v>1.17</v>
      </c>
      <c r="AB45" s="9">
        <v>9.6300000000000008</v>
      </c>
      <c r="AC45" s="9">
        <v>126.05</v>
      </c>
      <c r="AD45" s="9">
        <v>21.2</v>
      </c>
      <c r="AE45" s="9">
        <v>50.6</v>
      </c>
      <c r="AF45" s="9">
        <v>73.64</v>
      </c>
      <c r="AG45" s="9">
        <v>32.42</v>
      </c>
      <c r="AH45" s="22">
        <v>1.054</v>
      </c>
      <c r="AI45" s="9">
        <v>0.09</v>
      </c>
    </row>
    <row r="46" spans="1:956">
      <c r="A46" s="15">
        <v>45</v>
      </c>
      <c r="B46" s="8">
        <v>1</v>
      </c>
      <c r="C46" s="9">
        <v>217</v>
      </c>
      <c r="D46" s="9">
        <f t="shared" si="2"/>
        <v>3.75</v>
      </c>
      <c r="E46" s="9">
        <f t="shared" si="3"/>
        <v>0.20454545454545453</v>
      </c>
      <c r="F46" s="9">
        <f t="shared" si="4"/>
        <v>493.18181818181819</v>
      </c>
      <c r="G46" s="9">
        <f t="shared" si="5"/>
        <v>813.74999999999989</v>
      </c>
      <c r="H46" s="8">
        <v>15</v>
      </c>
      <c r="I46" s="9" t="s">
        <v>25</v>
      </c>
      <c r="J46" s="9">
        <v>4.5599999999999996</v>
      </c>
      <c r="K46" s="9">
        <v>2.63</v>
      </c>
      <c r="L46" s="9">
        <v>1.65</v>
      </c>
      <c r="M46" s="9">
        <v>0.44</v>
      </c>
      <c r="N46" s="9">
        <v>0.09</v>
      </c>
      <c r="O46" s="9">
        <v>0.45</v>
      </c>
      <c r="P46" s="9">
        <v>0</v>
      </c>
      <c r="Q46" s="9">
        <v>0</v>
      </c>
      <c r="R46" s="9">
        <v>7.46</v>
      </c>
      <c r="S46" s="18">
        <v>106</v>
      </c>
      <c r="T46" s="9">
        <v>0.35</v>
      </c>
      <c r="U46" s="9">
        <v>0.2</v>
      </c>
      <c r="V46" s="22">
        <v>1.7999999999999999E-2</v>
      </c>
      <c r="W46" s="9">
        <v>152.4</v>
      </c>
      <c r="X46" s="9">
        <v>4.04</v>
      </c>
      <c r="Y46" s="9">
        <v>124.9</v>
      </c>
      <c r="Z46" s="9">
        <v>2.5499999999999998</v>
      </c>
      <c r="AA46" s="9">
        <v>1.4</v>
      </c>
      <c r="AB46" s="9">
        <v>9.34</v>
      </c>
      <c r="AC46" s="9">
        <v>136.31</v>
      </c>
      <c r="AD46" s="9">
        <v>20.5</v>
      </c>
      <c r="AE46" s="9">
        <v>45.1</v>
      </c>
      <c r="AF46" s="9">
        <v>66.13</v>
      </c>
      <c r="AG46" s="9">
        <v>33.020000000000003</v>
      </c>
      <c r="AH46" s="22">
        <v>1.054</v>
      </c>
      <c r="AI46" s="9">
        <v>0.3155</v>
      </c>
      <c r="AJ46" s="1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</row>
    <row r="47" spans="1:956">
      <c r="A47" s="15">
        <v>46</v>
      </c>
      <c r="B47" s="8">
        <v>1</v>
      </c>
      <c r="C47" s="9">
        <v>200</v>
      </c>
      <c r="D47" s="9">
        <f t="shared" si="2"/>
        <v>2.6242774566473988</v>
      </c>
      <c r="E47" s="9">
        <f t="shared" si="3"/>
        <v>4.6242774566473993E-2</v>
      </c>
      <c r="F47" s="9">
        <f t="shared" si="4"/>
        <v>115.60693641618498</v>
      </c>
      <c r="G47" s="9">
        <f t="shared" si="5"/>
        <v>524.85549132947972</v>
      </c>
      <c r="H47" s="8">
        <v>13</v>
      </c>
      <c r="I47" s="9" t="s">
        <v>27</v>
      </c>
      <c r="J47" s="9">
        <v>6.4</v>
      </c>
      <c r="K47" s="9">
        <v>6.74</v>
      </c>
      <c r="L47" s="9">
        <v>4.54</v>
      </c>
      <c r="M47" s="9">
        <v>1.73</v>
      </c>
      <c r="N47" s="9">
        <v>0.08</v>
      </c>
      <c r="O47" s="9">
        <v>0.39</v>
      </c>
      <c r="P47" s="9">
        <v>0</v>
      </c>
      <c r="Q47" s="9">
        <v>0.01</v>
      </c>
      <c r="R47" s="9">
        <v>8.56</v>
      </c>
      <c r="S47" s="18">
        <v>129</v>
      </c>
      <c r="T47" s="9">
        <v>0.42</v>
      </c>
      <c r="U47" s="9">
        <v>0.9</v>
      </c>
      <c r="V47" s="22">
        <v>7.9000000000000001E-2</v>
      </c>
      <c r="W47" s="9">
        <v>150.6</v>
      </c>
      <c r="X47" s="9">
        <v>4.8600000000000003</v>
      </c>
      <c r="Y47" s="9">
        <v>117.3</v>
      </c>
      <c r="Z47" s="9">
        <v>2.75</v>
      </c>
      <c r="AA47" s="9">
        <v>1.08</v>
      </c>
      <c r="AB47" s="9">
        <v>11.12</v>
      </c>
      <c r="AC47" s="9">
        <v>124.6</v>
      </c>
      <c r="AD47" s="9">
        <v>29.9</v>
      </c>
      <c r="AE47" s="9">
        <v>71.8</v>
      </c>
      <c r="AF47" s="9">
        <v>75.53</v>
      </c>
      <c r="AG47" s="9">
        <v>33.35</v>
      </c>
      <c r="AH47" s="22">
        <v>1.022</v>
      </c>
      <c r="AI47" s="9">
        <v>0.11</v>
      </c>
      <c r="AJ47" s="19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</row>
    <row r="48" spans="1:956">
      <c r="A48" s="15">
        <v>47</v>
      </c>
      <c r="B48" s="7">
        <v>1</v>
      </c>
      <c r="C48" s="7">
        <v>338</v>
      </c>
      <c r="D48" s="9">
        <f t="shared" si="2"/>
        <v>1.1018518518518516</v>
      </c>
      <c r="E48" s="9">
        <f t="shared" si="3"/>
        <v>7.407407407407407E-2</v>
      </c>
      <c r="F48" s="9">
        <f t="shared" si="4"/>
        <v>312.96296296296293</v>
      </c>
      <c r="G48" s="9">
        <f t="shared" si="5"/>
        <v>372.42592592592587</v>
      </c>
      <c r="H48" s="7">
        <v>8</v>
      </c>
      <c r="I48" s="7" t="s">
        <v>27</v>
      </c>
      <c r="J48" s="9">
        <v>3.44</v>
      </c>
      <c r="K48" s="7">
        <v>2.38</v>
      </c>
      <c r="L48" s="7">
        <v>1.19</v>
      </c>
      <c r="M48" s="7">
        <v>1.08</v>
      </c>
      <c r="N48" s="7">
        <v>0.08</v>
      </c>
      <c r="O48" s="7">
        <v>1.2</v>
      </c>
      <c r="P48" s="7">
        <v>0.1</v>
      </c>
      <c r="Q48" s="7">
        <v>0.01</v>
      </c>
      <c r="R48" s="9">
        <v>9</v>
      </c>
      <c r="S48" s="18">
        <v>118</v>
      </c>
      <c r="T48" s="7">
        <v>0.39</v>
      </c>
      <c r="U48" s="7">
        <v>0.3</v>
      </c>
      <c r="V48" s="22">
        <v>2.4E-2</v>
      </c>
      <c r="W48" s="7">
        <v>156.80000000000001</v>
      </c>
      <c r="X48" s="7">
        <v>4.55</v>
      </c>
      <c r="Y48" s="7">
        <v>122.8</v>
      </c>
      <c r="Z48" s="7">
        <v>2.2999999999999998</v>
      </c>
      <c r="AA48" s="7">
        <v>1.69</v>
      </c>
      <c r="AB48" s="7">
        <v>7.4</v>
      </c>
      <c r="AC48" s="7">
        <v>135.19999999999999</v>
      </c>
      <c r="AD48" s="7">
        <v>29.2</v>
      </c>
      <c r="AE48" s="7">
        <v>50.5</v>
      </c>
      <c r="AF48" s="7">
        <v>71.3</v>
      </c>
      <c r="AG48" s="7">
        <v>34.909999999999997</v>
      </c>
      <c r="AH48" s="22">
        <v>1.0720000000000001</v>
      </c>
      <c r="AI48" s="7">
        <v>7.9600000000000004E-2</v>
      </c>
    </row>
    <row r="49" spans="1:956">
      <c r="A49" s="15">
        <v>48</v>
      </c>
      <c r="B49" s="7">
        <v>1</v>
      </c>
      <c r="C49" s="7">
        <v>258</v>
      </c>
      <c r="D49" s="9">
        <f t="shared" si="2"/>
        <v>1.1692307692307691</v>
      </c>
      <c r="E49" s="9">
        <f t="shared" si="3"/>
        <v>6.1538461538461535E-2</v>
      </c>
      <c r="F49" s="9">
        <f t="shared" si="4"/>
        <v>132.30769230769232</v>
      </c>
      <c r="G49" s="9">
        <f t="shared" si="5"/>
        <v>301.66153846153844</v>
      </c>
      <c r="H49" s="7">
        <v>13</v>
      </c>
      <c r="I49" s="7" t="s">
        <v>25</v>
      </c>
      <c r="J49" s="9">
        <v>4.5</v>
      </c>
      <c r="K49" s="7">
        <v>4.8099999999999996</v>
      </c>
      <c r="L49" s="7">
        <v>2.2799999999999998</v>
      </c>
      <c r="M49" s="7">
        <v>1.95</v>
      </c>
      <c r="N49" s="7">
        <v>0.12</v>
      </c>
      <c r="O49" s="7">
        <v>0.45</v>
      </c>
      <c r="P49" s="7">
        <v>0</v>
      </c>
      <c r="Q49" s="7">
        <v>0.02</v>
      </c>
      <c r="R49" s="9">
        <v>9.56</v>
      </c>
      <c r="S49" s="18">
        <v>134</v>
      </c>
      <c r="T49" s="7">
        <v>0.41</v>
      </c>
      <c r="U49" s="7">
        <v>0.1</v>
      </c>
      <c r="V49" s="22">
        <v>1.2999999999999999E-2</v>
      </c>
      <c r="W49" s="7">
        <v>158.19999999999999</v>
      </c>
      <c r="X49" s="7">
        <v>4.24</v>
      </c>
      <c r="Y49" s="7">
        <v>121.1</v>
      </c>
      <c r="Z49" s="7">
        <v>2.39</v>
      </c>
      <c r="AA49" s="7">
        <v>1.58</v>
      </c>
      <c r="AB49" s="7">
        <v>16.95</v>
      </c>
      <c r="AC49" s="7">
        <v>138.1</v>
      </c>
      <c r="AD49" s="7">
        <v>18.399999999999999</v>
      </c>
      <c r="AE49" s="7">
        <v>39.5</v>
      </c>
      <c r="AF49" s="7">
        <v>83.8</v>
      </c>
      <c r="AG49" s="7">
        <v>35</v>
      </c>
      <c r="AH49" s="22">
        <v>1.046</v>
      </c>
      <c r="AI49" s="7">
        <v>0.2195</v>
      </c>
    </row>
    <row r="50" spans="1:956">
      <c r="A50" s="15">
        <v>49</v>
      </c>
      <c r="B50" s="15">
        <v>1</v>
      </c>
      <c r="C50" s="15">
        <v>262</v>
      </c>
      <c r="D50" s="9">
        <f t="shared" si="2"/>
        <v>11.641509433962263</v>
      </c>
      <c r="E50" s="9">
        <f t="shared" si="3"/>
        <v>7.5471698113207544E-2</v>
      </c>
      <c r="F50" s="9">
        <f t="shared" si="4"/>
        <v>494.33962264150944</v>
      </c>
      <c r="G50" s="9">
        <f t="shared" si="5"/>
        <v>3050.0754716981128</v>
      </c>
      <c r="H50" s="15">
        <v>19</v>
      </c>
      <c r="I50" s="15" t="s">
        <v>30</v>
      </c>
      <c r="J50" s="15">
        <v>4.5999999999999996</v>
      </c>
      <c r="K50" s="9">
        <v>6.81</v>
      </c>
      <c r="L50" s="9">
        <v>6.17</v>
      </c>
      <c r="M50" s="9">
        <v>0.53</v>
      </c>
      <c r="N50" s="9">
        <v>0.04</v>
      </c>
      <c r="O50" s="9">
        <v>0.06</v>
      </c>
      <c r="P50" s="9">
        <v>0</v>
      </c>
      <c r="Q50" s="9">
        <v>0.01</v>
      </c>
      <c r="R50" s="16">
        <v>7.99</v>
      </c>
      <c r="S50" s="17">
        <v>113</v>
      </c>
      <c r="T50" s="15">
        <v>0.36</v>
      </c>
      <c r="U50" s="15">
        <v>0.1</v>
      </c>
      <c r="V50" s="15"/>
      <c r="W50" s="15">
        <v>148</v>
      </c>
      <c r="X50" s="15">
        <v>3.98</v>
      </c>
      <c r="Y50" s="15">
        <v>117.6</v>
      </c>
      <c r="Z50" s="15">
        <v>2.23</v>
      </c>
      <c r="AA50" s="15">
        <v>1.05</v>
      </c>
      <c r="AB50" s="15">
        <v>6.3</v>
      </c>
      <c r="AC50" s="15">
        <v>104.75</v>
      </c>
      <c r="AD50" s="15">
        <v>15.5</v>
      </c>
      <c r="AE50" s="15">
        <v>72.400000000000006</v>
      </c>
      <c r="AF50" s="15">
        <v>83</v>
      </c>
      <c r="AG50" s="15">
        <v>29.51</v>
      </c>
      <c r="AH50" s="15">
        <v>1.046</v>
      </c>
      <c r="AI50" s="15">
        <v>1.6539999999999999</v>
      </c>
      <c r="AJ50" s="1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</row>
    <row r="51" spans="1:956">
      <c r="A51" s="15">
        <v>50</v>
      </c>
      <c r="B51" s="15">
        <v>1</v>
      </c>
      <c r="C51" s="15">
        <v>363</v>
      </c>
      <c r="D51" s="9">
        <f t="shared" si="2"/>
        <v>5.7</v>
      </c>
      <c r="E51" s="9">
        <f t="shared" si="3"/>
        <v>0.25</v>
      </c>
      <c r="F51" s="9">
        <f t="shared" si="4"/>
        <v>363</v>
      </c>
      <c r="G51" s="9">
        <f t="shared" si="5"/>
        <v>2069.1</v>
      </c>
      <c r="H51" s="15">
        <v>4</v>
      </c>
      <c r="I51" s="15" t="s">
        <v>29</v>
      </c>
      <c r="J51" s="15">
        <v>3.5</v>
      </c>
      <c r="K51" s="9">
        <v>7.07</v>
      </c>
      <c r="L51" s="9">
        <v>5.7</v>
      </c>
      <c r="M51" s="9">
        <v>1</v>
      </c>
      <c r="N51" s="9">
        <v>0.25</v>
      </c>
      <c r="O51" s="9">
        <v>0.12</v>
      </c>
      <c r="P51" s="9">
        <v>0</v>
      </c>
      <c r="Q51" s="9">
        <v>0.01</v>
      </c>
      <c r="R51" s="16">
        <v>9.58</v>
      </c>
      <c r="S51" s="17">
        <v>132</v>
      </c>
      <c r="T51" s="15">
        <v>0.43</v>
      </c>
      <c r="U51" s="15">
        <v>0.3</v>
      </c>
      <c r="V51" s="15"/>
      <c r="W51" s="15">
        <v>143.19999999999999</v>
      </c>
      <c r="X51" s="15">
        <v>3.8</v>
      </c>
      <c r="Y51" s="15">
        <v>112.5</v>
      </c>
      <c r="Z51" s="15">
        <v>1.86</v>
      </c>
      <c r="AA51" s="15">
        <v>1.97</v>
      </c>
      <c r="AB51" s="15">
        <v>29.4</v>
      </c>
      <c r="AC51" s="15">
        <v>152.1</v>
      </c>
      <c r="AD51" s="15">
        <v>13.7</v>
      </c>
      <c r="AE51" s="15">
        <v>24.4</v>
      </c>
      <c r="AF51" s="15">
        <v>35</v>
      </c>
      <c r="AG51" s="15">
        <v>15.8</v>
      </c>
      <c r="AH51" s="15">
        <v>1.046</v>
      </c>
      <c r="AI51" s="15">
        <v>17.02</v>
      </c>
      <c r="AJ51" s="1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</row>
    <row r="52" spans="1:956">
      <c r="A52" s="15">
        <v>51</v>
      </c>
      <c r="B52" s="15">
        <v>1</v>
      </c>
      <c r="C52" s="15">
        <v>149</v>
      </c>
      <c r="D52" s="9">
        <f t="shared" si="2"/>
        <v>1.568840579710145</v>
      </c>
      <c r="E52" s="9">
        <f t="shared" si="3"/>
        <v>4.3478260869565216E-2</v>
      </c>
      <c r="F52" s="9">
        <f t="shared" si="4"/>
        <v>53.985507246376812</v>
      </c>
      <c r="G52" s="9">
        <f t="shared" si="5"/>
        <v>233.75724637681159</v>
      </c>
      <c r="H52" s="15">
        <v>10</v>
      </c>
      <c r="I52" s="15" t="s">
        <v>30</v>
      </c>
      <c r="J52" s="15">
        <v>3.2</v>
      </c>
      <c r="K52" s="9">
        <v>7.85</v>
      </c>
      <c r="L52" s="9">
        <v>4.33</v>
      </c>
      <c r="M52" s="9">
        <v>2.76</v>
      </c>
      <c r="N52" s="9">
        <v>0.12</v>
      </c>
      <c r="O52" s="9">
        <v>0.63</v>
      </c>
      <c r="P52" s="9">
        <v>0</v>
      </c>
      <c r="Q52" s="9">
        <v>0.01</v>
      </c>
      <c r="R52" s="16">
        <v>6.26</v>
      </c>
      <c r="S52" s="17">
        <v>97</v>
      </c>
      <c r="T52" s="15">
        <v>0.32</v>
      </c>
      <c r="U52" s="15">
        <v>0.7</v>
      </c>
      <c r="V52" s="15"/>
      <c r="W52" s="15">
        <v>161.19999999999999</v>
      </c>
      <c r="X52" s="15">
        <v>4.82</v>
      </c>
      <c r="Y52" s="15">
        <v>126.2</v>
      </c>
      <c r="Z52" s="15">
        <v>2.83</v>
      </c>
      <c r="AA52" s="15">
        <v>2.12</v>
      </c>
      <c r="AB52" s="15">
        <v>12.56</v>
      </c>
      <c r="AC52" s="15">
        <v>108.75</v>
      </c>
      <c r="AD52" s="15">
        <v>46</v>
      </c>
      <c r="AE52" s="15">
        <v>155.6</v>
      </c>
      <c r="AF52" s="15">
        <v>78.819999999999993</v>
      </c>
      <c r="AG52" s="15">
        <v>21.17</v>
      </c>
      <c r="AH52" s="15">
        <v>1.0329999999999999</v>
      </c>
      <c r="AI52" s="15">
        <v>1.61</v>
      </c>
      <c r="AJ52" s="1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</row>
    <row r="53" spans="1:956">
      <c r="A53" s="15">
        <v>52</v>
      </c>
      <c r="B53" s="15">
        <v>1</v>
      </c>
      <c r="C53" s="15">
        <v>349</v>
      </c>
      <c r="D53" s="9">
        <f t="shared" si="2"/>
        <v>3.0398230088495577</v>
      </c>
      <c r="E53" s="9">
        <f t="shared" si="3"/>
        <v>0.14159292035398233</v>
      </c>
      <c r="F53" s="9">
        <f t="shared" si="4"/>
        <v>154.42477876106196</v>
      </c>
      <c r="G53" s="9">
        <f t="shared" si="5"/>
        <v>1060.8982300884957</v>
      </c>
      <c r="H53" s="15">
        <v>10</v>
      </c>
      <c r="I53" s="15" t="s">
        <v>29</v>
      </c>
      <c r="J53" s="15">
        <v>5</v>
      </c>
      <c r="K53" s="9">
        <v>10.37</v>
      </c>
      <c r="L53" s="9">
        <v>6.87</v>
      </c>
      <c r="M53" s="9">
        <v>2.2599999999999998</v>
      </c>
      <c r="N53" s="9">
        <v>0.32</v>
      </c>
      <c r="O53" s="9">
        <v>0.9</v>
      </c>
      <c r="P53" s="9">
        <v>0</v>
      </c>
      <c r="Q53" s="9">
        <v>0.01</v>
      </c>
      <c r="R53" s="16">
        <v>7.26</v>
      </c>
      <c r="S53" s="17">
        <v>106</v>
      </c>
      <c r="T53" s="15">
        <v>0.31</v>
      </c>
      <c r="U53" s="15">
        <v>0.4</v>
      </c>
      <c r="V53" s="15"/>
      <c r="W53" s="15">
        <v>156.4</v>
      </c>
      <c r="X53" s="15">
        <v>4.57</v>
      </c>
      <c r="Y53" s="15">
        <v>125.7</v>
      </c>
      <c r="Z53" s="15">
        <v>2.64</v>
      </c>
      <c r="AA53" s="15">
        <v>1.65</v>
      </c>
      <c r="AB53" s="15">
        <v>7.18</v>
      </c>
      <c r="AC53" s="15">
        <v>111.2</v>
      </c>
      <c r="AD53" s="15">
        <v>26.8</v>
      </c>
      <c r="AE53" s="15">
        <v>54</v>
      </c>
      <c r="AF53" s="15">
        <v>66.2</v>
      </c>
      <c r="AG53" s="15">
        <v>31.56</v>
      </c>
      <c r="AH53" s="15">
        <v>1.08</v>
      </c>
      <c r="AI53" s="15">
        <v>0.35</v>
      </c>
      <c r="AJ53" s="1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</row>
    <row r="54" spans="1:956">
      <c r="A54" s="15">
        <v>53</v>
      </c>
      <c r="B54" s="15">
        <v>1</v>
      </c>
      <c r="C54" s="15">
        <v>285</v>
      </c>
      <c r="D54" s="9">
        <f t="shared" si="2"/>
        <v>0.74680851063829778</v>
      </c>
      <c r="E54" s="9">
        <f t="shared" si="3"/>
        <v>2.9787234042553193E-2</v>
      </c>
      <c r="F54" s="9">
        <f t="shared" si="4"/>
        <v>60.638297872340424</v>
      </c>
      <c r="G54" s="9">
        <f t="shared" si="5"/>
        <v>212.84042553191486</v>
      </c>
      <c r="H54" s="15"/>
      <c r="I54" s="15"/>
      <c r="J54" s="15">
        <v>6.1</v>
      </c>
      <c r="K54" s="9">
        <v>9.16</v>
      </c>
      <c r="L54" s="9">
        <v>3.51</v>
      </c>
      <c r="M54" s="9">
        <v>4.7</v>
      </c>
      <c r="N54" s="9">
        <v>0.14000000000000001</v>
      </c>
      <c r="O54" s="9">
        <v>0.8</v>
      </c>
      <c r="P54" s="9">
        <v>0.01</v>
      </c>
      <c r="Q54" s="9">
        <v>0</v>
      </c>
      <c r="R54" s="16">
        <v>9.07</v>
      </c>
      <c r="S54" s="17">
        <v>54</v>
      </c>
      <c r="T54" s="15">
        <v>0.44</v>
      </c>
      <c r="U54" s="15">
        <v>0.4</v>
      </c>
      <c r="V54" s="15">
        <v>3.5000000000000003E-2</v>
      </c>
      <c r="W54" s="15">
        <v>155.4</v>
      </c>
      <c r="X54" s="15">
        <v>4.6399999999999997</v>
      </c>
      <c r="Y54" s="15">
        <v>118</v>
      </c>
      <c r="Z54" s="15">
        <v>2.66</v>
      </c>
      <c r="AA54" s="15">
        <v>1.36</v>
      </c>
      <c r="AB54" s="15">
        <v>7.88</v>
      </c>
      <c r="AC54" s="15">
        <v>132</v>
      </c>
      <c r="AD54" s="15">
        <v>21.1</v>
      </c>
      <c r="AE54" s="15">
        <v>76.5</v>
      </c>
      <c r="AF54" s="15">
        <v>82.05</v>
      </c>
      <c r="AG54" s="15">
        <v>32.28</v>
      </c>
      <c r="AH54" s="15"/>
      <c r="AI54" s="15"/>
      <c r="AJ54" s="15">
        <v>8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</row>
    <row r="55" spans="1:956">
      <c r="A55" s="15">
        <v>54</v>
      </c>
      <c r="B55" s="15">
        <v>1</v>
      </c>
      <c r="C55" s="15">
        <v>205</v>
      </c>
      <c r="D55" s="9">
        <f t="shared" si="2"/>
        <v>0.77350427350427353</v>
      </c>
      <c r="E55" s="9">
        <f t="shared" si="3"/>
        <v>1.7094017094017096E-2</v>
      </c>
      <c r="F55" s="9">
        <f t="shared" si="4"/>
        <v>87.606837606837615</v>
      </c>
      <c r="G55" s="9">
        <f t="shared" si="5"/>
        <v>158.5683760683761</v>
      </c>
      <c r="H55" s="15">
        <v>8</v>
      </c>
      <c r="I55" s="15" t="s">
        <v>29</v>
      </c>
      <c r="J55" s="9">
        <v>6.56</v>
      </c>
      <c r="K55" s="9">
        <v>4.32</v>
      </c>
      <c r="L55" s="9">
        <v>1.81</v>
      </c>
      <c r="M55" s="9">
        <v>2.34</v>
      </c>
      <c r="N55" s="9">
        <v>0.04</v>
      </c>
      <c r="O55" s="9">
        <v>0.11</v>
      </c>
      <c r="P55" s="9">
        <v>0.01</v>
      </c>
      <c r="Q55" s="9">
        <v>0</v>
      </c>
      <c r="R55" s="16">
        <v>10.52</v>
      </c>
      <c r="S55" s="17">
        <v>138</v>
      </c>
      <c r="T55" s="15">
        <v>0.46</v>
      </c>
      <c r="U55" s="15">
        <v>0.4</v>
      </c>
      <c r="V55" s="15">
        <v>0.04</v>
      </c>
      <c r="W55" s="15"/>
      <c r="X55" s="15"/>
      <c r="Y55" s="15"/>
      <c r="Z55" s="15">
        <v>2.4300000000000002</v>
      </c>
      <c r="AA55" s="15">
        <v>1.06</v>
      </c>
      <c r="AB55" s="15">
        <v>9.2200000000000006</v>
      </c>
      <c r="AC55" s="15">
        <v>122.93</v>
      </c>
      <c r="AD55" s="15">
        <v>34</v>
      </c>
      <c r="AE55" s="15">
        <v>67.3</v>
      </c>
      <c r="AF55" s="15">
        <v>75.489999999999995</v>
      </c>
      <c r="AG55" s="15">
        <v>37.46</v>
      </c>
      <c r="AI55" s="15">
        <v>0.11799999999999999</v>
      </c>
      <c r="AJ55" s="15">
        <v>10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</row>
    <row r="56" spans="1:956">
      <c r="A56" s="15">
        <v>55</v>
      </c>
      <c r="B56" s="15">
        <v>1</v>
      </c>
      <c r="C56" s="15">
        <v>234</v>
      </c>
      <c r="D56" s="9">
        <f t="shared" si="2"/>
        <v>1.1801242236024843</v>
      </c>
      <c r="E56" s="9">
        <f t="shared" si="3"/>
        <v>3.1055900621118012E-2</v>
      </c>
      <c r="F56" s="9">
        <f t="shared" si="4"/>
        <v>145.34161490683229</v>
      </c>
      <c r="G56" s="9">
        <f t="shared" si="5"/>
        <v>276.14906832298135</v>
      </c>
      <c r="H56" s="15">
        <v>6</v>
      </c>
      <c r="I56" s="15" t="s">
        <v>29</v>
      </c>
      <c r="J56" s="9">
        <v>5.9</v>
      </c>
      <c r="K56" s="9">
        <v>3.91</v>
      </c>
      <c r="L56" s="9">
        <v>1.9</v>
      </c>
      <c r="M56" s="9">
        <v>1.61</v>
      </c>
      <c r="N56" s="9">
        <v>0.05</v>
      </c>
      <c r="O56" s="9">
        <v>0.34</v>
      </c>
      <c r="P56" s="9">
        <v>0</v>
      </c>
      <c r="Q56" s="9">
        <v>0</v>
      </c>
      <c r="R56" s="16">
        <v>8.2200000000000006</v>
      </c>
      <c r="S56" s="17">
        <v>137</v>
      </c>
      <c r="T56" s="15">
        <v>0.42</v>
      </c>
      <c r="U56" s="15">
        <v>0.4</v>
      </c>
      <c r="V56" s="15">
        <v>3.5000000000000003E-2</v>
      </c>
      <c r="W56" s="15">
        <v>156</v>
      </c>
      <c r="X56" s="15">
        <v>4.37</v>
      </c>
      <c r="Y56" s="15">
        <v>119.9</v>
      </c>
      <c r="Z56" s="15">
        <v>2.42</v>
      </c>
      <c r="AA56" s="15">
        <v>1.49</v>
      </c>
      <c r="AB56" s="15">
        <v>9.14</v>
      </c>
      <c r="AC56" s="15">
        <v>130</v>
      </c>
      <c r="AD56" s="15">
        <v>33.799999999999997</v>
      </c>
      <c r="AE56" s="15">
        <v>54.9</v>
      </c>
      <c r="AF56" s="15">
        <v>65.599999999999994</v>
      </c>
      <c r="AG56" s="15">
        <v>34.9</v>
      </c>
      <c r="AH56" s="15">
        <v>1.0740000000000001</v>
      </c>
      <c r="AI56" s="15">
        <v>0.214</v>
      </c>
      <c r="AJ56" s="15">
        <v>10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</row>
    <row r="57" spans="1:956">
      <c r="A57" s="15">
        <v>56</v>
      </c>
      <c r="B57" s="15">
        <v>1</v>
      </c>
      <c r="C57" s="15">
        <v>310</v>
      </c>
      <c r="D57" s="9">
        <f t="shared" si="2"/>
        <v>1.3835978835978837</v>
      </c>
      <c r="E57" s="9">
        <f t="shared" si="3"/>
        <v>7.4074074074074084E-2</v>
      </c>
      <c r="F57" s="9">
        <f t="shared" si="4"/>
        <v>82.010582010582013</v>
      </c>
      <c r="G57" s="9">
        <f t="shared" si="5"/>
        <v>428.91534391534401</v>
      </c>
      <c r="H57" s="15">
        <v>3</v>
      </c>
      <c r="I57" s="15" t="s">
        <v>29</v>
      </c>
      <c r="J57" s="9">
        <v>6.5</v>
      </c>
      <c r="K57" s="9">
        <v>9.98</v>
      </c>
      <c r="L57" s="9">
        <v>5.23</v>
      </c>
      <c r="M57" s="9">
        <v>3.78</v>
      </c>
      <c r="N57" s="9">
        <v>0.28000000000000003</v>
      </c>
      <c r="O57" s="9">
        <v>0.69</v>
      </c>
      <c r="P57" s="9">
        <v>0.01</v>
      </c>
      <c r="Q57" s="9">
        <v>0</v>
      </c>
      <c r="R57" s="16">
        <v>10.66</v>
      </c>
      <c r="S57" s="17">
        <v>153</v>
      </c>
      <c r="T57" s="15">
        <v>0.49</v>
      </c>
      <c r="U57" s="15">
        <v>0.3</v>
      </c>
      <c r="V57" s="15">
        <v>3.2000000000000001E-2</v>
      </c>
      <c r="W57" s="15">
        <v>166.1</v>
      </c>
      <c r="X57" s="15">
        <v>4.72</v>
      </c>
      <c r="Y57" s="15">
        <v>128.5</v>
      </c>
      <c r="Z57" s="15">
        <v>2.4700000000000002</v>
      </c>
      <c r="AA57" s="15">
        <v>1.43</v>
      </c>
      <c r="AB57" s="15">
        <v>7.47</v>
      </c>
      <c r="AC57" s="15">
        <v>108.51</v>
      </c>
      <c r="AD57" s="15">
        <v>31.7</v>
      </c>
      <c r="AE57" s="15">
        <v>50.1</v>
      </c>
      <c r="AF57" s="15">
        <v>75.23</v>
      </c>
      <c r="AG57" s="15">
        <v>35.4</v>
      </c>
      <c r="AH57" s="15">
        <v>1.0640000000000001</v>
      </c>
      <c r="AI57" s="15">
        <v>0.2</v>
      </c>
      <c r="AJ57" s="15">
        <v>10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</row>
    <row r="58" spans="1:956">
      <c r="A58" s="15">
        <v>57</v>
      </c>
      <c r="B58" s="15">
        <v>1</v>
      </c>
      <c r="C58" s="15">
        <v>97</v>
      </c>
      <c r="D58" s="9">
        <f t="shared" si="2"/>
        <v>0.62359550561797761</v>
      </c>
      <c r="E58" s="9">
        <f t="shared" si="3"/>
        <v>5.8052434456928842E-2</v>
      </c>
      <c r="F58" s="9">
        <f t="shared" si="4"/>
        <v>18.164794007490638</v>
      </c>
      <c r="G58" s="9">
        <f t="shared" si="5"/>
        <v>60.488764044943821</v>
      </c>
      <c r="H58" s="15">
        <v>9</v>
      </c>
      <c r="I58" s="15" t="s">
        <v>29</v>
      </c>
      <c r="J58" s="9">
        <v>5.0599999999999996</v>
      </c>
      <c r="K58" s="9">
        <v>9.69</v>
      </c>
      <c r="L58" s="9">
        <v>3.33</v>
      </c>
      <c r="M58" s="9">
        <v>5.34</v>
      </c>
      <c r="N58" s="9">
        <v>0.31</v>
      </c>
      <c r="O58" s="9">
        <v>0.31</v>
      </c>
      <c r="P58" s="9">
        <v>0.01</v>
      </c>
      <c r="Q58" s="9">
        <v>0.05</v>
      </c>
      <c r="R58" s="16">
        <v>8.31</v>
      </c>
      <c r="S58" s="17">
        <v>132</v>
      </c>
      <c r="T58" s="15">
        <v>0.42</v>
      </c>
      <c r="U58" s="15">
        <v>0.7</v>
      </c>
      <c r="V58" s="15">
        <v>6.2E-2</v>
      </c>
      <c r="W58" s="15">
        <v>157.1</v>
      </c>
      <c r="X58" s="15">
        <v>4.54</v>
      </c>
      <c r="Y58" s="15">
        <v>120.6</v>
      </c>
      <c r="Z58" s="15">
        <v>2.99</v>
      </c>
      <c r="AA58" s="15">
        <v>1.07</v>
      </c>
      <c r="AB58" s="15">
        <v>8.7200000000000006</v>
      </c>
      <c r="AC58" s="15">
        <v>133.18</v>
      </c>
      <c r="AD58" s="15">
        <v>15.3</v>
      </c>
      <c r="AE58" s="15">
        <v>42.3</v>
      </c>
      <c r="AF58" s="15">
        <v>72.72</v>
      </c>
      <c r="AG58" s="15">
        <v>29.77</v>
      </c>
      <c r="AH58" s="15">
        <v>1.0820000000000001</v>
      </c>
      <c r="AI58" s="15">
        <v>9.7000000000000003E-2</v>
      </c>
      <c r="AJ58" s="15">
        <v>7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</row>
    <row r="59" spans="1:956">
      <c r="A59" s="15">
        <v>58</v>
      </c>
      <c r="B59" s="15">
        <v>1</v>
      </c>
      <c r="C59" s="15">
        <v>267</v>
      </c>
      <c r="D59" s="9">
        <f t="shared" si="2"/>
        <v>0.76595744680851063</v>
      </c>
      <c r="E59" s="9">
        <f t="shared" si="3"/>
        <v>2.1276595744680851E-2</v>
      </c>
      <c r="F59" s="9">
        <f t="shared" si="4"/>
        <v>56.808510638297868</v>
      </c>
      <c r="G59" s="9">
        <f t="shared" si="5"/>
        <v>204.51063829787233</v>
      </c>
      <c r="H59" s="15">
        <v>9</v>
      </c>
      <c r="I59" s="15" t="s">
        <v>29</v>
      </c>
      <c r="J59" s="9">
        <v>6.03</v>
      </c>
      <c r="K59" s="9">
        <v>8.9</v>
      </c>
      <c r="L59" s="9">
        <v>3.6</v>
      </c>
      <c r="M59" s="9">
        <v>4.7</v>
      </c>
      <c r="N59" s="9">
        <v>0.1</v>
      </c>
      <c r="O59" s="9">
        <v>0.49</v>
      </c>
      <c r="P59" s="9">
        <v>0.01</v>
      </c>
      <c r="Q59" s="9">
        <v>0</v>
      </c>
      <c r="R59" s="16">
        <v>8.36</v>
      </c>
      <c r="S59" s="17">
        <v>124</v>
      </c>
      <c r="T59" s="15">
        <v>0.38</v>
      </c>
      <c r="U59" s="15">
        <v>0.4</v>
      </c>
      <c r="V59" s="15">
        <v>3.5000000000000003E-2</v>
      </c>
      <c r="W59" s="15">
        <v>154.9</v>
      </c>
      <c r="X59" s="15">
        <v>4.5999999999999996</v>
      </c>
      <c r="Y59" s="15">
        <v>121.4</v>
      </c>
      <c r="Z59" s="15">
        <v>2.33</v>
      </c>
      <c r="AA59" s="15">
        <v>1.06</v>
      </c>
      <c r="AB59" s="15">
        <v>11.27</v>
      </c>
      <c r="AC59" s="15">
        <v>135.09</v>
      </c>
      <c r="AD59" s="15">
        <v>20.100000000000001</v>
      </c>
      <c r="AE59" s="15">
        <v>80.400000000000006</v>
      </c>
      <c r="AF59" s="15">
        <v>76.63</v>
      </c>
      <c r="AG59" s="15">
        <v>34.89</v>
      </c>
      <c r="AH59" s="15">
        <v>1.0740000000000001</v>
      </c>
      <c r="AI59" s="15">
        <v>7.2999999999999995E-2</v>
      </c>
      <c r="AJ59" s="15">
        <v>11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</row>
    <row r="60" spans="1:956">
      <c r="A60" s="15">
        <v>59</v>
      </c>
      <c r="B60" s="15">
        <v>1</v>
      </c>
      <c r="C60" s="15">
        <v>295</v>
      </c>
      <c r="D60" s="9">
        <f t="shared" si="2"/>
        <v>4.7314814814814818</v>
      </c>
      <c r="E60" s="9">
        <f t="shared" si="3"/>
        <v>0.13888888888888887</v>
      </c>
      <c r="F60" s="9">
        <f t="shared" si="4"/>
        <v>273.14814814814815</v>
      </c>
      <c r="G60" s="9">
        <f t="shared" si="5"/>
        <v>1395.787037037037</v>
      </c>
      <c r="H60" s="15">
        <v>7</v>
      </c>
      <c r="I60" s="15" t="s">
        <v>29</v>
      </c>
      <c r="J60" s="9">
        <v>7.5</v>
      </c>
      <c r="K60" s="9">
        <v>7.27</v>
      </c>
      <c r="L60" s="9">
        <v>5.1100000000000003</v>
      </c>
      <c r="M60" s="9">
        <v>1.08</v>
      </c>
      <c r="N60" s="9">
        <v>0.15</v>
      </c>
      <c r="O60" s="9">
        <v>0.92</v>
      </c>
      <c r="P60" s="9">
        <v>0</v>
      </c>
      <c r="Q60" s="9">
        <v>0</v>
      </c>
      <c r="R60" s="16">
        <v>7.92</v>
      </c>
      <c r="S60" s="17">
        <v>139</v>
      </c>
      <c r="T60" s="15">
        <v>0.41</v>
      </c>
      <c r="U60" s="15">
        <v>0.1</v>
      </c>
      <c r="V60" s="15">
        <v>0.01</v>
      </c>
      <c r="W60" s="15">
        <v>160</v>
      </c>
      <c r="X60" s="15">
        <v>4.68</v>
      </c>
      <c r="Y60" s="15">
        <v>124.8</v>
      </c>
      <c r="Z60" s="15">
        <v>2.66</v>
      </c>
      <c r="AA60" s="15">
        <v>1.53</v>
      </c>
      <c r="AB60" s="15">
        <v>11.7</v>
      </c>
      <c r="AC60" s="15">
        <v>141.19999999999999</v>
      </c>
      <c r="AD60" s="15">
        <v>21.3</v>
      </c>
      <c r="AE60" s="15">
        <v>83.9</v>
      </c>
      <c r="AF60" s="15">
        <v>73.400000000000006</v>
      </c>
      <c r="AG60" s="15">
        <v>34.4</v>
      </c>
      <c r="AH60" s="15">
        <v>1.0760000000000001</v>
      </c>
      <c r="AI60" s="15">
        <v>0.187</v>
      </c>
      <c r="AJ60" s="15">
        <v>14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</row>
    <row r="61" spans="1:956">
      <c r="A61" s="15">
        <v>60</v>
      </c>
      <c r="B61" s="15">
        <v>1</v>
      </c>
      <c r="C61" s="15">
        <v>358</v>
      </c>
      <c r="D61" s="9">
        <f t="shared" si="2"/>
        <v>1.1445783132530118</v>
      </c>
      <c r="E61" s="9">
        <f t="shared" si="3"/>
        <v>4.0963855421686748E-2</v>
      </c>
      <c r="F61" s="9">
        <f t="shared" si="4"/>
        <v>86.265060240963848</v>
      </c>
      <c r="G61" s="9">
        <f t="shared" si="5"/>
        <v>409.75903614457826</v>
      </c>
      <c r="H61" s="15"/>
      <c r="I61" s="15"/>
      <c r="J61" s="9">
        <v>5.76</v>
      </c>
      <c r="K61" s="15">
        <v>9.68</v>
      </c>
      <c r="L61" s="9">
        <v>4.75</v>
      </c>
      <c r="M61" s="9">
        <v>4.1500000000000004</v>
      </c>
      <c r="N61" s="9">
        <v>0.17</v>
      </c>
      <c r="O61" s="9"/>
      <c r="P61" s="9"/>
      <c r="Q61" s="9"/>
      <c r="R61" s="16">
        <v>9.09</v>
      </c>
      <c r="S61" s="17">
        <v>127</v>
      </c>
      <c r="T61" s="16">
        <v>0.4</v>
      </c>
      <c r="U61" s="15">
        <v>0.4</v>
      </c>
      <c r="V61" s="15">
        <v>0.4</v>
      </c>
      <c r="W61" s="9">
        <v>160</v>
      </c>
      <c r="X61" s="9">
        <v>4.68</v>
      </c>
      <c r="Y61" s="9">
        <v>124.8</v>
      </c>
      <c r="Z61" s="9">
        <v>2.66</v>
      </c>
      <c r="AA61" s="9">
        <v>1.53</v>
      </c>
      <c r="AB61" s="9">
        <v>9.25</v>
      </c>
      <c r="AC61" s="9">
        <v>117.05</v>
      </c>
      <c r="AD61" s="9">
        <v>7.92</v>
      </c>
      <c r="AE61" s="9">
        <v>139</v>
      </c>
      <c r="AF61" s="9">
        <v>0.41</v>
      </c>
      <c r="AG61" s="15"/>
      <c r="AH61" s="15">
        <v>1.06</v>
      </c>
      <c r="AI61" s="15">
        <v>0.313</v>
      </c>
      <c r="AJ61" s="15">
        <v>9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</row>
    <row r="62" spans="1:956">
      <c r="A62" s="15">
        <v>61</v>
      </c>
      <c r="B62" s="15">
        <v>1</v>
      </c>
      <c r="C62" s="15">
        <v>295</v>
      </c>
      <c r="D62" s="9">
        <f t="shared" si="2"/>
        <v>1.9949109414758268</v>
      </c>
      <c r="E62" s="9">
        <f t="shared" si="3"/>
        <v>7.8880407124681931E-2</v>
      </c>
      <c r="F62" s="9">
        <f t="shared" si="4"/>
        <v>75.063613231552154</v>
      </c>
      <c r="G62" s="9">
        <f t="shared" si="5"/>
        <v>588.49872773536902</v>
      </c>
      <c r="H62" s="15">
        <v>12</v>
      </c>
      <c r="I62" s="15" t="s">
        <v>29</v>
      </c>
      <c r="J62" s="9">
        <v>5.6</v>
      </c>
      <c r="K62" s="15">
        <v>14.93</v>
      </c>
      <c r="L62" s="9">
        <v>7.84</v>
      </c>
      <c r="M62" s="9">
        <v>3.93</v>
      </c>
      <c r="N62" s="9">
        <v>0.31</v>
      </c>
      <c r="O62" s="9"/>
      <c r="P62" s="9"/>
      <c r="Q62" s="9"/>
      <c r="R62" s="16">
        <v>8.41</v>
      </c>
      <c r="S62" s="17">
        <v>117</v>
      </c>
      <c r="T62" s="15">
        <v>0.38</v>
      </c>
      <c r="U62" s="15">
        <v>0.4</v>
      </c>
      <c r="V62" s="15">
        <v>3.1E-2</v>
      </c>
      <c r="W62" s="9">
        <v>151.5</v>
      </c>
      <c r="X62" s="9">
        <v>4.4800000000000004</v>
      </c>
      <c r="Y62" s="9">
        <v>121</v>
      </c>
      <c r="Z62" s="9">
        <v>2.37</v>
      </c>
      <c r="AA62" s="9">
        <v>1.53</v>
      </c>
      <c r="AB62" s="9">
        <v>9.59</v>
      </c>
      <c r="AC62" s="9">
        <v>126.35</v>
      </c>
      <c r="AD62" s="9">
        <v>8.41</v>
      </c>
      <c r="AE62" s="9">
        <v>117</v>
      </c>
      <c r="AF62" s="9">
        <v>0.38</v>
      </c>
      <c r="AG62" s="15"/>
      <c r="AH62" s="15"/>
      <c r="AJ62" s="15">
        <v>9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</row>
    <row r="63" spans="1:956">
      <c r="A63" s="15">
        <v>62</v>
      </c>
      <c r="B63" s="15">
        <v>1</v>
      </c>
      <c r="C63" s="15">
        <v>202</v>
      </c>
      <c r="D63" s="9">
        <f t="shared" si="2"/>
        <v>5.2222222222222223</v>
      </c>
      <c r="E63" s="9">
        <f t="shared" si="3"/>
        <v>0.23611111111111113</v>
      </c>
      <c r="F63" s="9">
        <f t="shared" si="4"/>
        <v>280.55555555555554</v>
      </c>
      <c r="G63" s="9">
        <f t="shared" si="5"/>
        <v>1054.8888888888889</v>
      </c>
      <c r="H63" s="15">
        <v>8</v>
      </c>
      <c r="I63" s="15" t="s">
        <v>29</v>
      </c>
      <c r="J63" s="9">
        <v>8.9749999999999996</v>
      </c>
      <c r="K63" s="15">
        <v>5.15</v>
      </c>
      <c r="L63" s="9">
        <v>3.76</v>
      </c>
      <c r="M63" s="9">
        <v>0.72</v>
      </c>
      <c r="N63" s="9">
        <v>0.17</v>
      </c>
      <c r="O63" s="9"/>
      <c r="P63" s="9"/>
      <c r="Q63" s="9"/>
      <c r="R63" s="16">
        <v>8.4700000000000006</v>
      </c>
      <c r="S63" s="17">
        <v>154</v>
      </c>
      <c r="T63" s="15">
        <v>0.43</v>
      </c>
      <c r="U63" s="15">
        <v>0.4</v>
      </c>
      <c r="V63" s="15">
        <v>3.5999999999999997E-2</v>
      </c>
      <c r="W63" s="9">
        <v>154.30000000000001</v>
      </c>
      <c r="X63" s="9">
        <v>4.22</v>
      </c>
      <c r="Y63" s="9">
        <v>117.1</v>
      </c>
      <c r="Z63" s="9">
        <v>2.62</v>
      </c>
      <c r="AA63" s="9">
        <v>1.0900000000000001</v>
      </c>
      <c r="AB63" s="9">
        <v>7.58</v>
      </c>
      <c r="AC63" s="9">
        <v>140.19999999999999</v>
      </c>
      <c r="AD63" s="9">
        <v>8.4700000000000006</v>
      </c>
      <c r="AE63" s="9">
        <v>154</v>
      </c>
      <c r="AF63" s="9">
        <v>0.43</v>
      </c>
      <c r="AG63" s="15"/>
      <c r="AH63" s="15">
        <v>1.0489999999999999</v>
      </c>
      <c r="AI63" s="15">
        <v>0.13200000000000001</v>
      </c>
      <c r="AJ63" s="1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</row>
    <row r="64" spans="1:956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V31"/>
  <sheetViews>
    <sheetView topLeftCell="A14" workbookViewId="0">
      <pane xSplit="1" topLeftCell="B1" activePane="topRight" state="frozen"/>
      <selection pane="topRight" activeCell="G1" sqref="G1"/>
    </sheetView>
  </sheetViews>
  <sheetFormatPr defaultRowHeight="13.8"/>
  <cols>
    <col min="1" max="1" width="9.09765625" style="7"/>
  </cols>
  <sheetData>
    <row r="1" spans="1:958" ht="14.4" thickBot="1">
      <c r="A1" s="11" t="s">
        <v>41</v>
      </c>
      <c r="B1" s="1" t="s">
        <v>46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34</v>
      </c>
      <c r="M1" s="12" t="s">
        <v>43</v>
      </c>
      <c r="N1" s="12" t="s">
        <v>35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4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44</v>
      </c>
      <c r="AC1" s="12" t="s">
        <v>37</v>
      </c>
      <c r="AD1" s="12" t="s">
        <v>22</v>
      </c>
      <c r="AE1" s="12" t="s">
        <v>23</v>
      </c>
      <c r="AF1" s="12" t="s">
        <v>38</v>
      </c>
      <c r="AG1" s="12" t="s">
        <v>39</v>
      </c>
      <c r="AH1" s="14" t="s">
        <v>40</v>
      </c>
      <c r="AI1" s="12" t="s">
        <v>24</v>
      </c>
    </row>
    <row r="2" spans="1:958" ht="14.4" thickTop="1">
      <c r="A2" s="15">
        <v>1</v>
      </c>
      <c r="B2" s="2">
        <v>4</v>
      </c>
      <c r="C2" s="15">
        <v>29.58</v>
      </c>
      <c r="D2" s="9">
        <v>21.69</v>
      </c>
      <c r="E2" s="9">
        <v>3.05</v>
      </c>
      <c r="F2" s="9">
        <v>2.67</v>
      </c>
      <c r="G2" s="9">
        <v>200</v>
      </c>
      <c r="H2" s="9">
        <f>D2/E2</f>
        <v>7.111475409836066</v>
      </c>
      <c r="I2" s="9">
        <f t="shared" ref="I2:I27" si="0">F2/E2</f>
        <v>0.87540983606557377</v>
      </c>
      <c r="J2" s="9">
        <f t="shared" ref="J2:J27" si="1">G2/E2</f>
        <v>65.573770491803288</v>
      </c>
      <c r="K2" s="9">
        <f t="shared" ref="K2:K27" si="2">G2*D2/E2</f>
        <v>1422.2950819672133</v>
      </c>
      <c r="L2" s="15">
        <v>12</v>
      </c>
      <c r="M2" s="15" t="s">
        <v>26</v>
      </c>
      <c r="N2" s="15">
        <v>3.3</v>
      </c>
      <c r="O2" s="9">
        <v>2.0499999999999998</v>
      </c>
      <c r="P2" s="9">
        <v>0.11</v>
      </c>
      <c r="Q2" s="9">
        <v>0</v>
      </c>
      <c r="R2" s="16">
        <v>5.28</v>
      </c>
      <c r="S2" s="16">
        <v>77</v>
      </c>
      <c r="T2" s="16">
        <v>0.27</v>
      </c>
      <c r="U2" s="16"/>
      <c r="V2" s="16"/>
      <c r="W2" s="16">
        <v>152.19999999999999</v>
      </c>
      <c r="X2" s="16">
        <v>4.6900000000000004</v>
      </c>
      <c r="Y2" s="16">
        <v>120.6</v>
      </c>
      <c r="Z2" s="16">
        <v>2.59</v>
      </c>
      <c r="AA2" s="16">
        <v>7.52</v>
      </c>
      <c r="AB2" s="16">
        <v>98.96</v>
      </c>
      <c r="AC2" s="16">
        <v>647.47</v>
      </c>
      <c r="AD2" s="16">
        <v>33.799999999999997</v>
      </c>
      <c r="AE2" s="16">
        <v>69.5</v>
      </c>
      <c r="AF2" s="16">
        <v>87.1</v>
      </c>
      <c r="AG2" s="16">
        <v>31.8</v>
      </c>
      <c r="AH2" s="23">
        <v>1.022</v>
      </c>
      <c r="AI2" s="23">
        <v>0.58299999999999996</v>
      </c>
      <c r="AJ2" s="2"/>
    </row>
    <row r="3" spans="1:958">
      <c r="A3" s="7">
        <v>2</v>
      </c>
      <c r="B3" s="2">
        <v>4</v>
      </c>
      <c r="C3" s="9">
        <v>12.59</v>
      </c>
      <c r="D3" s="9">
        <v>10.86</v>
      </c>
      <c r="E3" s="9">
        <v>1.07</v>
      </c>
      <c r="F3" s="9">
        <v>0.36</v>
      </c>
      <c r="G3" s="9">
        <v>518</v>
      </c>
      <c r="H3" s="9">
        <f t="shared" ref="H3:H27" si="3">D3/E3</f>
        <v>10.149532710280372</v>
      </c>
      <c r="I3" s="9">
        <f t="shared" si="0"/>
        <v>0.3364485981308411</v>
      </c>
      <c r="J3" s="9">
        <f t="shared" si="1"/>
        <v>484.11214953271025</v>
      </c>
      <c r="K3" s="9">
        <f t="shared" si="2"/>
        <v>5257.4579439252329</v>
      </c>
      <c r="L3" s="8">
        <v>6</v>
      </c>
      <c r="M3" s="9" t="s">
        <v>27</v>
      </c>
      <c r="N3" s="9">
        <v>3.32</v>
      </c>
      <c r="O3" s="9">
        <v>0.27</v>
      </c>
      <c r="P3" s="9">
        <v>0</v>
      </c>
      <c r="Q3" s="9">
        <v>0.03</v>
      </c>
      <c r="R3" s="9">
        <v>6.62</v>
      </c>
      <c r="S3" s="9">
        <v>95</v>
      </c>
      <c r="T3" s="9">
        <v>0.31</v>
      </c>
      <c r="U3" s="9">
        <v>0.2</v>
      </c>
      <c r="V3" s="9">
        <v>0.01</v>
      </c>
      <c r="W3" s="9">
        <v>150.4</v>
      </c>
      <c r="X3" s="9">
        <v>4.18</v>
      </c>
      <c r="Y3" s="9">
        <v>115.1</v>
      </c>
      <c r="Z3" s="9">
        <v>2.39</v>
      </c>
      <c r="AA3" s="9">
        <v>4.28</v>
      </c>
      <c r="AB3" s="9">
        <v>77.2</v>
      </c>
      <c r="AC3" s="9">
        <v>984.2</v>
      </c>
      <c r="AD3" s="9">
        <v>14.2</v>
      </c>
      <c r="AE3" s="9">
        <v>72.099999999999994</v>
      </c>
      <c r="AF3" s="9">
        <v>84.34</v>
      </c>
      <c r="AG3" s="9">
        <v>26.91</v>
      </c>
      <c r="AH3" s="22">
        <v>1.0149999999999999</v>
      </c>
      <c r="AI3" s="22">
        <v>0.91500000000000004</v>
      </c>
    </row>
    <row r="4" spans="1:958">
      <c r="A4" s="7">
        <v>3</v>
      </c>
      <c r="B4" s="2">
        <v>4</v>
      </c>
      <c r="C4" s="9">
        <v>12.34</v>
      </c>
      <c r="D4" s="9">
        <v>10.07</v>
      </c>
      <c r="E4" s="9">
        <v>1.24</v>
      </c>
      <c r="F4" s="9">
        <v>0.84</v>
      </c>
      <c r="G4" s="9">
        <v>273</v>
      </c>
      <c r="H4" s="9">
        <f t="shared" si="3"/>
        <v>8.120967741935484</v>
      </c>
      <c r="I4" s="9">
        <f t="shared" si="0"/>
        <v>0.67741935483870963</v>
      </c>
      <c r="J4" s="9">
        <f t="shared" si="1"/>
        <v>220.16129032258064</v>
      </c>
      <c r="K4" s="9">
        <f t="shared" si="2"/>
        <v>2217.0241935483873</v>
      </c>
      <c r="L4" s="8">
        <v>5</v>
      </c>
      <c r="M4" s="9" t="s">
        <v>25</v>
      </c>
      <c r="N4" s="9">
        <v>7.4</v>
      </c>
      <c r="O4" s="9">
        <v>0.12</v>
      </c>
      <c r="P4" s="9">
        <v>0.01</v>
      </c>
      <c r="Q4" s="9">
        <v>0.05</v>
      </c>
      <c r="R4" s="9">
        <v>7.88</v>
      </c>
      <c r="S4" s="9">
        <v>127</v>
      </c>
      <c r="T4" s="9">
        <v>0.39</v>
      </c>
      <c r="U4" s="9">
        <v>0.3</v>
      </c>
      <c r="V4" s="9">
        <v>2.1999999999999999E-2</v>
      </c>
      <c r="W4" s="9">
        <v>146.6</v>
      </c>
      <c r="X4" s="9">
        <v>6.53</v>
      </c>
      <c r="Y4" s="9">
        <v>116.5</v>
      </c>
      <c r="Z4" s="9">
        <v>2.44</v>
      </c>
      <c r="AA4" s="9">
        <v>2.7</v>
      </c>
      <c r="AB4" s="9">
        <v>39.700000000000003</v>
      </c>
      <c r="AC4" s="9">
        <v>1021.4</v>
      </c>
      <c r="AD4" s="9">
        <v>23.9</v>
      </c>
      <c r="AE4" s="9">
        <v>45</v>
      </c>
      <c r="AF4" s="9">
        <v>69.67</v>
      </c>
      <c r="AG4" s="9">
        <v>33.99</v>
      </c>
      <c r="AH4" s="22"/>
      <c r="AI4" s="22"/>
    </row>
    <row r="5" spans="1:958">
      <c r="A5" s="15">
        <v>4</v>
      </c>
      <c r="B5" s="2">
        <v>4</v>
      </c>
      <c r="C5" s="9">
        <v>10.88</v>
      </c>
      <c r="D5" s="9">
        <v>7.24</v>
      </c>
      <c r="E5" s="9">
        <v>2.11</v>
      </c>
      <c r="F5" s="9">
        <v>0.26</v>
      </c>
      <c r="G5" s="9">
        <v>497</v>
      </c>
      <c r="H5" s="9">
        <f t="shared" si="3"/>
        <v>3.4312796208530809</v>
      </c>
      <c r="I5" s="9">
        <f t="shared" si="0"/>
        <v>0.12322274881516589</v>
      </c>
      <c r="J5" s="9">
        <f t="shared" si="1"/>
        <v>235.54502369668248</v>
      </c>
      <c r="K5" s="9">
        <f t="shared" si="2"/>
        <v>1705.3459715639813</v>
      </c>
      <c r="L5" s="8">
        <v>18</v>
      </c>
      <c r="M5" s="9" t="s">
        <v>25</v>
      </c>
      <c r="N5" s="9">
        <v>3.06</v>
      </c>
      <c r="O5" s="9">
        <v>1.23</v>
      </c>
      <c r="P5" s="9">
        <v>0</v>
      </c>
      <c r="Q5" s="9">
        <v>0.03</v>
      </c>
      <c r="R5" s="9">
        <v>4.5199999999999996</v>
      </c>
      <c r="S5" s="9">
        <v>70</v>
      </c>
      <c r="T5" s="9">
        <v>0.23</v>
      </c>
      <c r="U5" s="9">
        <v>0.1</v>
      </c>
      <c r="V5" s="9">
        <v>6.0000000000000001E-3</v>
      </c>
      <c r="W5" s="9">
        <v>152.9</v>
      </c>
      <c r="X5" s="9">
        <v>3.81</v>
      </c>
      <c r="Y5" s="9">
        <v>119.8</v>
      </c>
      <c r="Z5" s="9">
        <v>2.5299999999999998</v>
      </c>
      <c r="AA5" s="9">
        <v>2.89</v>
      </c>
      <c r="AB5" s="9">
        <v>45.31</v>
      </c>
      <c r="AC5" s="9">
        <v>430</v>
      </c>
      <c r="AD5" s="9">
        <v>13.2</v>
      </c>
      <c r="AE5" s="9">
        <v>47.5</v>
      </c>
      <c r="AF5" s="9">
        <v>80.62</v>
      </c>
      <c r="AG5" s="9">
        <v>30.34</v>
      </c>
      <c r="AH5" s="22">
        <v>1.006</v>
      </c>
      <c r="AI5" s="22">
        <v>0.64500000000000002</v>
      </c>
    </row>
    <row r="6" spans="1:958">
      <c r="A6" s="7">
        <v>5</v>
      </c>
      <c r="B6" s="2">
        <v>4</v>
      </c>
      <c r="C6" s="7">
        <v>13.68</v>
      </c>
      <c r="D6" s="7">
        <v>10.81</v>
      </c>
      <c r="E6" s="7">
        <v>1.67</v>
      </c>
      <c r="F6" s="7">
        <v>0.22</v>
      </c>
      <c r="G6" s="7">
        <v>403</v>
      </c>
      <c r="H6" s="9">
        <f t="shared" si="3"/>
        <v>6.4730538922155691</v>
      </c>
      <c r="I6" s="9">
        <f t="shared" si="0"/>
        <v>0.1317365269461078</v>
      </c>
      <c r="J6" s="9">
        <f t="shared" si="1"/>
        <v>241.31736526946108</v>
      </c>
      <c r="K6" s="9">
        <f t="shared" si="2"/>
        <v>2608.6407185628746</v>
      </c>
      <c r="L6" s="7">
        <v>10</v>
      </c>
      <c r="M6" s="7" t="s">
        <v>27</v>
      </c>
      <c r="N6" s="7">
        <v>4.93</v>
      </c>
      <c r="O6" s="9">
        <v>0.98</v>
      </c>
      <c r="P6" s="9">
        <v>0</v>
      </c>
      <c r="Q6" s="9">
        <v>0</v>
      </c>
      <c r="R6" s="9">
        <v>6.51</v>
      </c>
      <c r="S6" s="9">
        <v>86</v>
      </c>
      <c r="T6" s="9">
        <v>0.31</v>
      </c>
      <c r="U6" s="9">
        <v>0.1</v>
      </c>
      <c r="V6" s="9">
        <v>5.0000000000000001E-3</v>
      </c>
      <c r="W6" s="9">
        <v>155.80000000000001</v>
      </c>
      <c r="X6" s="9">
        <v>4.54</v>
      </c>
      <c r="Y6" s="9">
        <v>124</v>
      </c>
      <c r="Z6" s="9">
        <v>2.75</v>
      </c>
      <c r="AA6" s="9">
        <v>6.38</v>
      </c>
      <c r="AB6" s="9">
        <v>63</v>
      </c>
      <c r="AC6" s="9">
        <v>747.5</v>
      </c>
      <c r="AD6" s="9">
        <v>11.5</v>
      </c>
      <c r="AE6" s="9">
        <v>76.099999999999994</v>
      </c>
      <c r="AF6" s="9">
        <v>91.9</v>
      </c>
      <c r="AG6" s="9">
        <v>33.299999999999997</v>
      </c>
      <c r="AH6" s="22">
        <v>1.01</v>
      </c>
      <c r="AI6" s="22">
        <v>0.53149999999999997</v>
      </c>
    </row>
    <row r="7" spans="1:958">
      <c r="A7" s="7">
        <v>6</v>
      </c>
      <c r="B7" s="2">
        <v>4</v>
      </c>
      <c r="C7" s="7">
        <v>8.48</v>
      </c>
      <c r="D7" s="7">
        <v>6.68</v>
      </c>
      <c r="E7" s="7">
        <v>1.38</v>
      </c>
      <c r="F7" s="7">
        <v>0.18</v>
      </c>
      <c r="G7" s="7">
        <v>221</v>
      </c>
      <c r="H7" s="9">
        <f t="shared" si="3"/>
        <v>4.8405797101449277</v>
      </c>
      <c r="I7" s="9">
        <f t="shared" si="0"/>
        <v>0.13043478260869565</v>
      </c>
      <c r="J7" s="9">
        <f t="shared" si="1"/>
        <v>160.1449275362319</v>
      </c>
      <c r="K7" s="9">
        <f t="shared" si="2"/>
        <v>1069.768115942029</v>
      </c>
      <c r="L7" s="7">
        <v>11</v>
      </c>
      <c r="M7" s="7" t="s">
        <v>27</v>
      </c>
      <c r="N7" s="9">
        <v>6.5</v>
      </c>
      <c r="O7" s="9">
        <v>0.24</v>
      </c>
      <c r="P7" s="9">
        <v>0</v>
      </c>
      <c r="Q7" s="9">
        <v>0</v>
      </c>
      <c r="R7" s="9">
        <v>8.89</v>
      </c>
      <c r="S7" s="9">
        <v>134</v>
      </c>
      <c r="T7" s="9">
        <v>0.44</v>
      </c>
      <c r="U7" s="9">
        <v>0.3</v>
      </c>
      <c r="V7" s="9">
        <v>2.5000000000000001E-2</v>
      </c>
      <c r="W7" s="9">
        <v>149.1</v>
      </c>
      <c r="X7" s="9">
        <v>5.68</v>
      </c>
      <c r="Y7" s="9">
        <v>113.6</v>
      </c>
      <c r="Z7" s="9">
        <v>2.54</v>
      </c>
      <c r="AA7" s="9">
        <v>2.58</v>
      </c>
      <c r="AB7" s="9">
        <v>33.6</v>
      </c>
      <c r="AC7" s="9">
        <v>553.79999999999995</v>
      </c>
      <c r="AD7" s="9">
        <v>16.899999999999999</v>
      </c>
      <c r="AE7" s="9">
        <v>45.6</v>
      </c>
      <c r="AF7" s="9">
        <v>80.099999999999994</v>
      </c>
      <c r="AG7" s="9">
        <v>38.700000000000003</v>
      </c>
      <c r="AH7" s="22"/>
      <c r="AI7" s="2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</row>
    <row r="8" spans="1:958">
      <c r="A8" s="15">
        <v>7</v>
      </c>
      <c r="B8" s="2">
        <v>4</v>
      </c>
      <c r="C8" s="19">
        <v>3.96</v>
      </c>
      <c r="D8" s="9">
        <v>3.6</v>
      </c>
      <c r="E8" s="9">
        <v>0.1</v>
      </c>
      <c r="F8" s="9">
        <v>0.13</v>
      </c>
      <c r="G8" s="19">
        <v>142</v>
      </c>
      <c r="H8" s="9">
        <f t="shared" si="3"/>
        <v>36</v>
      </c>
      <c r="I8" s="9">
        <f t="shared" si="0"/>
        <v>1.3</v>
      </c>
      <c r="J8" s="9">
        <f t="shared" si="1"/>
        <v>1420</v>
      </c>
      <c r="K8" s="9">
        <f t="shared" si="2"/>
        <v>5112</v>
      </c>
      <c r="L8" s="19">
        <v>11</v>
      </c>
      <c r="M8" s="19" t="s">
        <v>26</v>
      </c>
      <c r="N8" s="19">
        <v>2.88</v>
      </c>
      <c r="O8" s="9">
        <v>0.1</v>
      </c>
      <c r="P8" s="9">
        <v>0.03</v>
      </c>
      <c r="Q8" s="9">
        <v>0</v>
      </c>
      <c r="R8" s="20">
        <v>3.38</v>
      </c>
      <c r="S8" s="20">
        <v>139</v>
      </c>
      <c r="T8" s="20">
        <v>0.15</v>
      </c>
      <c r="U8" s="16"/>
      <c r="V8" s="16"/>
      <c r="W8" s="20">
        <v>156.6</v>
      </c>
      <c r="X8" s="20">
        <v>7.35</v>
      </c>
      <c r="Y8" s="20">
        <v>117.4</v>
      </c>
      <c r="Z8" s="20">
        <v>2.59</v>
      </c>
      <c r="AA8" s="20">
        <v>8.2200000000000006</v>
      </c>
      <c r="AB8" s="20">
        <v>123.35</v>
      </c>
      <c r="AC8" s="20">
        <v>2473.7800000000002</v>
      </c>
      <c r="AD8" s="20">
        <v>11</v>
      </c>
      <c r="AE8" s="20">
        <v>84.6</v>
      </c>
      <c r="AF8" s="20">
        <v>93.1</v>
      </c>
      <c r="AG8" s="20">
        <v>36.4</v>
      </c>
      <c r="AH8" s="24">
        <v>1.0269999999999999</v>
      </c>
      <c r="AI8" s="24">
        <v>2.63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</row>
    <row r="9" spans="1:958">
      <c r="A9" s="7">
        <v>8</v>
      </c>
      <c r="B9" s="2">
        <v>4</v>
      </c>
      <c r="C9" s="19">
        <v>10.32</v>
      </c>
      <c r="D9" s="9">
        <v>7.82</v>
      </c>
      <c r="E9" s="9">
        <v>1.6</v>
      </c>
      <c r="F9" s="9">
        <v>0.42</v>
      </c>
      <c r="G9" s="19">
        <v>370</v>
      </c>
      <c r="H9" s="9">
        <f t="shared" si="3"/>
        <v>4.8875000000000002</v>
      </c>
      <c r="I9" s="9">
        <f t="shared" si="0"/>
        <v>0.26249999999999996</v>
      </c>
      <c r="J9" s="9">
        <f t="shared" si="1"/>
        <v>231.25</v>
      </c>
      <c r="K9" s="9">
        <f>G9*D9/E9</f>
        <v>1808.375</v>
      </c>
      <c r="L9" s="19">
        <v>17</v>
      </c>
      <c r="M9" s="19" t="s">
        <v>26</v>
      </c>
      <c r="N9" s="19">
        <v>3.06</v>
      </c>
      <c r="O9" s="9">
        <v>0.48</v>
      </c>
      <c r="P9" s="9">
        <v>0.01</v>
      </c>
      <c r="Q9" s="9">
        <v>0</v>
      </c>
      <c r="R9" s="20">
        <v>7.05</v>
      </c>
      <c r="S9" s="20">
        <v>97</v>
      </c>
      <c r="T9" s="20">
        <v>0.32</v>
      </c>
      <c r="U9" s="20"/>
      <c r="V9" s="20"/>
      <c r="W9" s="20">
        <v>152.9</v>
      </c>
      <c r="X9" s="20">
        <v>3.87</v>
      </c>
      <c r="Y9" s="20">
        <v>122.4</v>
      </c>
      <c r="Z9" s="20">
        <v>2.62</v>
      </c>
      <c r="AA9" s="20">
        <v>2.85</v>
      </c>
      <c r="AB9" s="20">
        <v>42.5</v>
      </c>
      <c r="AC9" s="20">
        <v>735.9</v>
      </c>
      <c r="AD9" s="20">
        <v>13.4</v>
      </c>
      <c r="AE9" s="20">
        <v>42.5</v>
      </c>
      <c r="AF9" s="20">
        <v>69.7</v>
      </c>
      <c r="AG9" s="20">
        <v>29.5</v>
      </c>
      <c r="AH9" s="24">
        <v>1.016</v>
      </c>
      <c r="AI9" s="24">
        <v>1.3460000000000001</v>
      </c>
      <c r="AJ9" s="6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</row>
    <row r="10" spans="1:958">
      <c r="A10" s="7">
        <v>9</v>
      </c>
      <c r="B10" s="2">
        <v>4</v>
      </c>
      <c r="C10" s="7">
        <v>12.64</v>
      </c>
      <c r="D10" s="7">
        <v>11.36</v>
      </c>
      <c r="E10" s="7">
        <v>0.99</v>
      </c>
      <c r="F10" s="7">
        <v>0.23</v>
      </c>
      <c r="G10" s="7">
        <v>135</v>
      </c>
      <c r="H10" s="9">
        <f t="shared" si="3"/>
        <v>11.474747474747474</v>
      </c>
      <c r="I10" s="9">
        <f t="shared" si="0"/>
        <v>0.23232323232323235</v>
      </c>
      <c r="J10" s="9">
        <f t="shared" si="1"/>
        <v>136.36363636363637</v>
      </c>
      <c r="K10" s="9">
        <f t="shared" si="2"/>
        <v>1549.090909090909</v>
      </c>
      <c r="L10" s="7">
        <v>13</v>
      </c>
      <c r="M10" s="7" t="s">
        <v>27</v>
      </c>
      <c r="N10" s="7">
        <v>2.12</v>
      </c>
      <c r="O10" s="9">
        <v>0.06</v>
      </c>
      <c r="P10" s="9">
        <v>0</v>
      </c>
      <c r="Q10" s="9">
        <v>0</v>
      </c>
      <c r="R10" s="9">
        <v>5.91</v>
      </c>
      <c r="S10" s="9">
        <v>95</v>
      </c>
      <c r="T10" s="9">
        <v>0.28999999999999998</v>
      </c>
      <c r="U10" s="9">
        <v>0.3</v>
      </c>
      <c r="V10" s="9">
        <v>0.15</v>
      </c>
      <c r="W10" s="9">
        <v>146.5</v>
      </c>
      <c r="X10" s="9">
        <v>4.79</v>
      </c>
      <c r="Y10" s="9">
        <v>114.1</v>
      </c>
      <c r="Z10" s="9">
        <v>2.31</v>
      </c>
      <c r="AA10" s="9">
        <v>4.3099999999999996</v>
      </c>
      <c r="AB10" s="9">
        <v>56.4</v>
      </c>
      <c r="AC10" s="9">
        <v>633.29999999999995</v>
      </c>
      <c r="AD10" s="9">
        <v>15.2</v>
      </c>
      <c r="AE10" s="9">
        <v>145.5</v>
      </c>
      <c r="AF10" s="9">
        <v>90.2</v>
      </c>
      <c r="AG10" s="9">
        <v>33.950000000000003</v>
      </c>
      <c r="AH10" s="22">
        <v>1.014</v>
      </c>
      <c r="AI10" s="22">
        <v>3.33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</row>
    <row r="11" spans="1:958">
      <c r="A11" s="15">
        <v>10</v>
      </c>
      <c r="B11" s="2">
        <v>4</v>
      </c>
      <c r="C11" s="9">
        <v>6.63</v>
      </c>
      <c r="D11" s="9">
        <v>4.78</v>
      </c>
      <c r="E11" s="9">
        <v>1.43</v>
      </c>
      <c r="F11" s="9">
        <v>0.11</v>
      </c>
      <c r="G11" s="9">
        <v>294</v>
      </c>
      <c r="H11" s="9">
        <f t="shared" si="3"/>
        <v>3.3426573426573429</v>
      </c>
      <c r="I11" s="9">
        <f t="shared" si="0"/>
        <v>7.6923076923076927E-2</v>
      </c>
      <c r="J11" s="9">
        <f t="shared" si="1"/>
        <v>205.5944055944056</v>
      </c>
      <c r="K11" s="9">
        <f t="shared" si="2"/>
        <v>982.74125874125889</v>
      </c>
      <c r="L11" s="8">
        <v>16</v>
      </c>
      <c r="M11" s="9" t="s">
        <v>25</v>
      </c>
      <c r="N11" s="9">
        <v>3.2</v>
      </c>
      <c r="O11" s="9">
        <v>0.3</v>
      </c>
      <c r="P11" s="9">
        <v>0</v>
      </c>
      <c r="Q11" s="9">
        <v>0.01</v>
      </c>
      <c r="R11" s="9">
        <v>5.85</v>
      </c>
      <c r="S11" s="9">
        <v>90</v>
      </c>
      <c r="T11" s="9">
        <v>0.28000000000000003</v>
      </c>
      <c r="U11" s="9">
        <v>0.4</v>
      </c>
      <c r="V11" s="9">
        <v>2.3E-2</v>
      </c>
      <c r="W11" s="9">
        <v>152.6</v>
      </c>
      <c r="X11" s="9">
        <v>3.72</v>
      </c>
      <c r="Y11" s="9">
        <v>115.4</v>
      </c>
      <c r="Z11" s="9">
        <v>2.93</v>
      </c>
      <c r="AA11" s="9">
        <v>3.1</v>
      </c>
      <c r="AB11" s="9">
        <v>45.4</v>
      </c>
      <c r="AC11" s="9">
        <v>554.1</v>
      </c>
      <c r="AD11" s="9">
        <v>6.8</v>
      </c>
      <c r="AE11" s="9">
        <v>67.400000000000006</v>
      </c>
      <c r="AF11" s="9">
        <v>84.27</v>
      </c>
      <c r="AG11" s="9">
        <v>31.55</v>
      </c>
      <c r="AH11" s="22">
        <v>1.02</v>
      </c>
      <c r="AI11" s="2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</row>
    <row r="12" spans="1:958">
      <c r="A12" s="7">
        <v>11</v>
      </c>
      <c r="B12" s="2">
        <v>4</v>
      </c>
      <c r="C12" s="15">
        <v>6.92</v>
      </c>
      <c r="D12" s="9">
        <v>5</v>
      </c>
      <c r="E12" s="9">
        <v>1.74</v>
      </c>
      <c r="F12" s="9">
        <v>0.08</v>
      </c>
      <c r="G12" s="15">
        <v>287</v>
      </c>
      <c r="H12" s="9">
        <f t="shared" si="3"/>
        <v>2.8735632183908044</v>
      </c>
      <c r="I12" s="9">
        <f t="shared" si="0"/>
        <v>4.5977011494252873E-2</v>
      </c>
      <c r="J12" s="9">
        <f t="shared" si="1"/>
        <v>164.94252873563218</v>
      </c>
      <c r="K12" s="9">
        <f t="shared" si="2"/>
        <v>824.71264367816093</v>
      </c>
      <c r="L12" s="15">
        <v>11</v>
      </c>
      <c r="M12" s="15" t="s">
        <v>30</v>
      </c>
      <c r="N12" s="15">
        <v>4</v>
      </c>
      <c r="O12" s="9">
        <v>0.06</v>
      </c>
      <c r="P12" s="9">
        <v>0</v>
      </c>
      <c r="Q12" s="9">
        <v>0.03</v>
      </c>
      <c r="R12" s="16">
        <v>6.07</v>
      </c>
      <c r="S12" s="16">
        <v>87</v>
      </c>
      <c r="T12" s="16">
        <v>0.27</v>
      </c>
      <c r="U12" s="16">
        <v>0.2</v>
      </c>
      <c r="V12" s="16"/>
      <c r="W12" s="16">
        <v>154.5</v>
      </c>
      <c r="X12" s="16">
        <v>3.71</v>
      </c>
      <c r="Y12" s="16">
        <v>116.7</v>
      </c>
      <c r="Z12" s="16">
        <v>3</v>
      </c>
      <c r="AA12" s="16">
        <v>5.94</v>
      </c>
      <c r="AB12" s="16">
        <v>84.3</v>
      </c>
      <c r="AC12" s="16">
        <v>1148.5999999999999</v>
      </c>
      <c r="AD12" s="16">
        <v>21.4</v>
      </c>
      <c r="AE12" s="16">
        <v>30.4</v>
      </c>
      <c r="AF12" s="16">
        <v>86.55</v>
      </c>
      <c r="AG12" s="16">
        <v>34.36</v>
      </c>
      <c r="AH12" s="23">
        <v>1.014</v>
      </c>
      <c r="AI12" s="23">
        <v>0.84199999999999997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</row>
    <row r="13" spans="1:958">
      <c r="A13" s="7">
        <v>12</v>
      </c>
      <c r="B13" s="2">
        <v>4</v>
      </c>
      <c r="C13" s="15">
        <v>14.33</v>
      </c>
      <c r="D13" s="9">
        <v>10.85</v>
      </c>
      <c r="E13" s="9">
        <v>2.85</v>
      </c>
      <c r="F13" s="9">
        <v>0.23</v>
      </c>
      <c r="G13" s="15">
        <v>683</v>
      </c>
      <c r="H13" s="9">
        <f t="shared" si="3"/>
        <v>3.807017543859649</v>
      </c>
      <c r="I13" s="9">
        <f t="shared" si="0"/>
        <v>8.0701754385964913E-2</v>
      </c>
      <c r="J13" s="9">
        <f t="shared" si="1"/>
        <v>239.64912280701753</v>
      </c>
      <c r="K13" s="9">
        <f t="shared" si="2"/>
        <v>2600.1929824561403</v>
      </c>
      <c r="L13" s="15">
        <v>7</v>
      </c>
      <c r="M13" s="15" t="s">
        <v>30</v>
      </c>
      <c r="N13" s="15">
        <v>2</v>
      </c>
      <c r="O13" s="9">
        <v>0.36</v>
      </c>
      <c r="P13" s="9">
        <v>0</v>
      </c>
      <c r="Q13" s="9">
        <v>0.04</v>
      </c>
      <c r="R13" s="16">
        <v>4.88</v>
      </c>
      <c r="S13" s="16">
        <v>77</v>
      </c>
      <c r="T13" s="16">
        <v>0.26</v>
      </c>
      <c r="U13" s="16">
        <v>0.2</v>
      </c>
      <c r="V13" s="16"/>
      <c r="W13" s="16">
        <v>159.6</v>
      </c>
      <c r="X13" s="16">
        <v>2.96</v>
      </c>
      <c r="Y13" s="16">
        <v>120.5</v>
      </c>
      <c r="Z13" s="16">
        <v>2.87</v>
      </c>
      <c r="AA13" s="16">
        <v>4.96</v>
      </c>
      <c r="AB13" s="16">
        <v>35</v>
      </c>
      <c r="AC13" s="16">
        <v>400.8</v>
      </c>
      <c r="AD13" s="16">
        <v>17</v>
      </c>
      <c r="AE13" s="16">
        <v>133.1</v>
      </c>
      <c r="AF13" s="16">
        <v>62.5</v>
      </c>
      <c r="AG13" s="16">
        <v>26.3</v>
      </c>
      <c r="AH13" s="23">
        <v>1.018</v>
      </c>
      <c r="AI13" s="23">
        <v>0.88800000000000001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</row>
    <row r="14" spans="1:958">
      <c r="A14" s="15">
        <v>13</v>
      </c>
      <c r="B14" s="2">
        <v>4</v>
      </c>
      <c r="C14" s="7">
        <v>11.85</v>
      </c>
      <c r="D14" s="7">
        <v>9.67</v>
      </c>
      <c r="E14" s="7">
        <v>1.4</v>
      </c>
      <c r="F14" s="7">
        <v>0.77</v>
      </c>
      <c r="G14" s="7">
        <v>264</v>
      </c>
      <c r="H14" s="9">
        <f t="shared" si="3"/>
        <v>6.9071428571428575</v>
      </c>
      <c r="I14" s="9">
        <f t="shared" si="0"/>
        <v>0.55000000000000004</v>
      </c>
      <c r="J14" s="9">
        <f t="shared" si="1"/>
        <v>188.57142857142858</v>
      </c>
      <c r="K14" s="9">
        <f t="shared" si="2"/>
        <v>1823.4857142857145</v>
      </c>
      <c r="L14" s="15"/>
      <c r="M14" s="15"/>
      <c r="N14" s="15"/>
      <c r="O14" s="9">
        <v>0.23</v>
      </c>
      <c r="P14" s="9">
        <v>0</v>
      </c>
      <c r="Q14" s="9">
        <v>0</v>
      </c>
      <c r="R14" s="16">
        <v>8.61</v>
      </c>
      <c r="S14" s="16">
        <v>111</v>
      </c>
      <c r="T14" s="16">
        <v>0.33</v>
      </c>
      <c r="U14" s="16">
        <v>0.4</v>
      </c>
      <c r="V14" s="16">
        <v>3.6999999999999998E-2</v>
      </c>
      <c r="W14" s="16">
        <v>160.30000000000001</v>
      </c>
      <c r="X14" s="16">
        <v>3.69</v>
      </c>
      <c r="Y14" s="16">
        <v>126.2</v>
      </c>
      <c r="Z14" s="16">
        <v>2.79</v>
      </c>
      <c r="AA14" s="16">
        <v>3.63</v>
      </c>
      <c r="AB14" s="9">
        <v>64.3</v>
      </c>
      <c r="AC14" s="9">
        <v>1351</v>
      </c>
      <c r="AD14" s="16"/>
      <c r="AE14" s="16"/>
      <c r="AF14" s="16"/>
      <c r="AG14" s="16"/>
      <c r="AH14" s="23"/>
      <c r="AI14" s="23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</row>
    <row r="15" spans="1:958">
      <c r="A15" s="7">
        <v>14</v>
      </c>
      <c r="B15" s="2">
        <v>3</v>
      </c>
      <c r="C15" s="15">
        <v>10.58</v>
      </c>
      <c r="D15" s="9">
        <v>6.93</v>
      </c>
      <c r="E15" s="9">
        <v>1.58</v>
      </c>
      <c r="F15" s="9">
        <v>1.95</v>
      </c>
      <c r="G15" s="15">
        <v>502</v>
      </c>
      <c r="H15" s="9">
        <f t="shared" si="3"/>
        <v>4.386075949367088</v>
      </c>
      <c r="I15" s="9">
        <f t="shared" si="0"/>
        <v>1.2341772151898733</v>
      </c>
      <c r="J15" s="9">
        <f t="shared" si="1"/>
        <v>317.72151898734177</v>
      </c>
      <c r="K15" s="9">
        <f t="shared" si="2"/>
        <v>2201.8101265822784</v>
      </c>
      <c r="L15" s="15">
        <v>13</v>
      </c>
      <c r="M15" s="15" t="s">
        <v>29</v>
      </c>
      <c r="N15" s="15">
        <v>3.02</v>
      </c>
      <c r="O15" s="9">
        <v>0.09</v>
      </c>
      <c r="P15" s="9">
        <v>0.01</v>
      </c>
      <c r="Q15" s="9">
        <v>0.03</v>
      </c>
      <c r="R15" s="16">
        <v>4.75</v>
      </c>
      <c r="S15" s="16">
        <v>67</v>
      </c>
      <c r="T15" s="16">
        <v>0.2</v>
      </c>
      <c r="U15" s="16"/>
      <c r="V15" s="16"/>
      <c r="W15" s="16">
        <v>155.69999999999999</v>
      </c>
      <c r="X15" s="16">
        <v>4.72</v>
      </c>
      <c r="Y15" s="16">
        <v>124</v>
      </c>
      <c r="Z15" s="16">
        <v>2.5</v>
      </c>
      <c r="AA15" s="16">
        <v>2.92</v>
      </c>
      <c r="AB15" s="16">
        <v>25.3</v>
      </c>
      <c r="AC15" s="16">
        <v>254.7</v>
      </c>
      <c r="AD15" s="16">
        <v>17.100000000000001</v>
      </c>
      <c r="AE15" s="16">
        <v>54.6</v>
      </c>
      <c r="AF15" s="16">
        <v>76.099999999999994</v>
      </c>
      <c r="AG15" s="16">
        <v>24.2</v>
      </c>
      <c r="AH15" s="23">
        <v>1.018</v>
      </c>
      <c r="AI15" s="23">
        <v>3.76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</row>
    <row r="16" spans="1:958">
      <c r="A16" s="7">
        <v>15</v>
      </c>
      <c r="B16" s="2">
        <v>3</v>
      </c>
      <c r="C16" s="19">
        <v>13.22</v>
      </c>
      <c r="D16" s="9">
        <v>10.07</v>
      </c>
      <c r="E16" s="9">
        <v>2.0699999999999998</v>
      </c>
      <c r="F16" s="9">
        <v>0.82</v>
      </c>
      <c r="G16" s="19">
        <v>394</v>
      </c>
      <c r="H16" s="9">
        <f t="shared" si="3"/>
        <v>4.8647342995169085</v>
      </c>
      <c r="I16" s="9">
        <f t="shared" si="0"/>
        <v>0.39613526570048307</v>
      </c>
      <c r="J16" s="9">
        <f t="shared" si="1"/>
        <v>190.33816425120776</v>
      </c>
      <c r="K16" s="9">
        <f t="shared" si="2"/>
        <v>1916.7053140096621</v>
      </c>
      <c r="L16" s="19">
        <v>15</v>
      </c>
      <c r="M16" s="19" t="s">
        <v>31</v>
      </c>
      <c r="N16" s="19">
        <v>4.4000000000000004</v>
      </c>
      <c r="O16" s="9">
        <v>0.16</v>
      </c>
      <c r="P16" s="9">
        <v>0.02</v>
      </c>
      <c r="Q16" s="9">
        <v>0.06</v>
      </c>
      <c r="R16" s="20">
        <v>4.96</v>
      </c>
      <c r="S16" s="20">
        <v>81</v>
      </c>
      <c r="T16" s="20">
        <v>0.25</v>
      </c>
      <c r="U16" s="20"/>
      <c r="V16" s="20"/>
      <c r="W16" s="20">
        <v>152</v>
      </c>
      <c r="X16" s="20">
        <v>4.2</v>
      </c>
      <c r="Y16" s="20">
        <v>121</v>
      </c>
      <c r="Z16" s="20">
        <v>2.1</v>
      </c>
      <c r="AA16" s="20">
        <v>2.67</v>
      </c>
      <c r="AB16" s="20">
        <v>25.4</v>
      </c>
      <c r="AC16" s="20">
        <v>291.75</v>
      </c>
      <c r="AD16" s="20"/>
      <c r="AE16" s="20"/>
      <c r="AF16" s="20">
        <v>83.16</v>
      </c>
      <c r="AG16" s="20">
        <v>24.31</v>
      </c>
      <c r="AH16" s="24">
        <v>1.0209999999999999</v>
      </c>
      <c r="AI16" s="24">
        <v>0.88700000000000001</v>
      </c>
      <c r="AJ16" s="6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</row>
    <row r="17" spans="1:958">
      <c r="A17" s="15">
        <v>16</v>
      </c>
      <c r="B17" s="2">
        <v>3</v>
      </c>
      <c r="C17" s="9">
        <v>16.57</v>
      </c>
      <c r="D17" s="9">
        <v>14.22</v>
      </c>
      <c r="E17" s="9">
        <v>1.5</v>
      </c>
      <c r="F17" s="9">
        <v>0.38</v>
      </c>
      <c r="G17" s="9">
        <v>432</v>
      </c>
      <c r="H17" s="9">
        <f t="shared" si="3"/>
        <v>9.48</v>
      </c>
      <c r="I17" s="9">
        <f t="shared" si="0"/>
        <v>0.25333333333333335</v>
      </c>
      <c r="J17" s="9">
        <f t="shared" si="1"/>
        <v>288</v>
      </c>
      <c r="K17" s="9">
        <f t="shared" si="2"/>
        <v>4095.36</v>
      </c>
      <c r="L17" s="8">
        <v>18</v>
      </c>
      <c r="M17" s="9" t="s">
        <v>27</v>
      </c>
      <c r="N17" s="9">
        <v>3.5</v>
      </c>
      <c r="O17" s="9">
        <v>0.39</v>
      </c>
      <c r="P17" s="9">
        <v>0</v>
      </c>
      <c r="Q17" s="9">
        <v>0.08</v>
      </c>
      <c r="R17" s="9">
        <v>7.15</v>
      </c>
      <c r="S17" s="9">
        <v>105</v>
      </c>
      <c r="T17" s="9">
        <v>0.33</v>
      </c>
      <c r="U17" s="9">
        <v>0.2</v>
      </c>
      <c r="V17" s="9">
        <v>1.4999999999999999E-2</v>
      </c>
      <c r="W17" s="9">
        <v>152.19999999999999</v>
      </c>
      <c r="X17" s="9">
        <v>4.8600000000000003</v>
      </c>
      <c r="Y17" s="9">
        <v>120.5</v>
      </c>
      <c r="Z17" s="9">
        <v>2.8</v>
      </c>
      <c r="AA17" s="9">
        <v>1.33</v>
      </c>
      <c r="AB17" s="9">
        <v>32.049999999999997</v>
      </c>
      <c r="AC17" s="9">
        <v>296.60000000000002</v>
      </c>
      <c r="AD17" s="9">
        <v>16.899999999999999</v>
      </c>
      <c r="AE17" s="9">
        <v>71.5</v>
      </c>
      <c r="AF17" s="9">
        <v>91.96</v>
      </c>
      <c r="AG17" s="9">
        <v>27.15</v>
      </c>
      <c r="AH17" s="22">
        <v>1.02</v>
      </c>
      <c r="AI17" s="22">
        <v>0.25900000000000001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</row>
    <row r="18" spans="1:958">
      <c r="A18" s="7">
        <v>17</v>
      </c>
      <c r="B18" s="2">
        <v>3</v>
      </c>
      <c r="C18" s="9">
        <v>12</v>
      </c>
      <c r="D18" s="9">
        <v>9.56</v>
      </c>
      <c r="E18" s="9">
        <v>1.71</v>
      </c>
      <c r="F18" s="9">
        <v>0.41</v>
      </c>
      <c r="G18" s="9">
        <v>329</v>
      </c>
      <c r="H18" s="9">
        <f t="shared" si="3"/>
        <v>5.590643274853802</v>
      </c>
      <c r="I18" s="9">
        <f t="shared" si="0"/>
        <v>0.23976608187134502</v>
      </c>
      <c r="J18" s="9">
        <f t="shared" si="1"/>
        <v>192.39766081871346</v>
      </c>
      <c r="K18" s="9">
        <f t="shared" si="2"/>
        <v>1839.3216374269007</v>
      </c>
      <c r="L18" s="8">
        <v>13</v>
      </c>
      <c r="M18" s="9" t="s">
        <v>25</v>
      </c>
      <c r="N18" s="9">
        <v>2.96</v>
      </c>
      <c r="O18" s="9">
        <v>0.3</v>
      </c>
      <c r="P18" s="9">
        <v>0</v>
      </c>
      <c r="Q18" s="9">
        <v>0.02</v>
      </c>
      <c r="R18" s="9">
        <v>6.59</v>
      </c>
      <c r="S18" s="9">
        <v>79</v>
      </c>
      <c r="T18" s="9">
        <v>0.26</v>
      </c>
      <c r="U18" s="9">
        <v>1.0999999999999999E-2</v>
      </c>
      <c r="V18" s="9">
        <v>1.0999999999999999E-2</v>
      </c>
      <c r="W18" s="9">
        <v>149.30000000000001</v>
      </c>
      <c r="X18" s="9">
        <v>3.92</v>
      </c>
      <c r="Y18" s="9">
        <v>119.4</v>
      </c>
      <c r="Z18" s="9">
        <v>2.61</v>
      </c>
      <c r="AA18" s="9">
        <v>2.48</v>
      </c>
      <c r="AB18" s="9">
        <v>19.899999999999999</v>
      </c>
      <c r="AC18" s="9">
        <v>285.3</v>
      </c>
      <c r="AD18" s="9">
        <v>14.1</v>
      </c>
      <c r="AE18" s="9">
        <v>54.6</v>
      </c>
      <c r="AF18" s="9">
        <v>68</v>
      </c>
      <c r="AG18" s="9">
        <v>29.3</v>
      </c>
      <c r="AH18" s="22">
        <v>1.03</v>
      </c>
      <c r="AI18" s="22">
        <v>0.36399999999999999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</row>
    <row r="19" spans="1:958">
      <c r="A19" s="7">
        <v>18</v>
      </c>
      <c r="B19" s="2">
        <v>3</v>
      </c>
      <c r="C19" s="7">
        <v>4.1500000000000004</v>
      </c>
      <c r="D19" s="7">
        <v>2.79</v>
      </c>
      <c r="E19" s="7">
        <v>1.08</v>
      </c>
      <c r="F19" s="7">
        <v>0.15</v>
      </c>
      <c r="G19" s="7">
        <v>274</v>
      </c>
      <c r="H19" s="9">
        <f t="shared" si="3"/>
        <v>2.583333333333333</v>
      </c>
      <c r="I19" s="9">
        <f t="shared" si="0"/>
        <v>0.13888888888888887</v>
      </c>
      <c r="J19" s="9">
        <f t="shared" si="1"/>
        <v>253.7037037037037</v>
      </c>
      <c r="K19" s="9">
        <f t="shared" si="2"/>
        <v>707.83333333333337</v>
      </c>
      <c r="L19" s="7">
        <v>14</v>
      </c>
      <c r="M19" s="7" t="s">
        <v>27</v>
      </c>
      <c r="N19" s="7">
        <v>6.6</v>
      </c>
      <c r="O19" s="9">
        <v>0.12</v>
      </c>
      <c r="P19" s="9">
        <v>0</v>
      </c>
      <c r="Q19" s="9">
        <v>0</v>
      </c>
      <c r="R19" s="9">
        <v>8.06</v>
      </c>
      <c r="S19" s="9">
        <v>128</v>
      </c>
      <c r="T19" s="9">
        <v>0.41</v>
      </c>
      <c r="U19" s="9">
        <v>0.1</v>
      </c>
      <c r="V19" s="9">
        <v>7.0000000000000001E-3</v>
      </c>
      <c r="W19" s="9">
        <v>155.5</v>
      </c>
      <c r="X19" s="9">
        <v>4.0199999999999996</v>
      </c>
      <c r="Y19" s="9">
        <v>122.7</v>
      </c>
      <c r="Z19" s="9">
        <v>2.4700000000000002</v>
      </c>
      <c r="AA19" s="9">
        <v>1.75</v>
      </c>
      <c r="AB19" s="9">
        <v>22.12</v>
      </c>
      <c r="AC19" s="9">
        <v>338.7</v>
      </c>
      <c r="AD19" s="9">
        <v>26.4</v>
      </c>
      <c r="AE19" s="9">
        <v>37.5</v>
      </c>
      <c r="AF19" s="9">
        <v>70.8</v>
      </c>
      <c r="AG19" s="9">
        <v>36.4</v>
      </c>
      <c r="AH19" s="22">
        <v>1.016</v>
      </c>
      <c r="AI19" s="22">
        <v>0.14269999999999999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</row>
    <row r="20" spans="1:958">
      <c r="A20" s="15">
        <v>19</v>
      </c>
      <c r="B20" s="2">
        <v>3</v>
      </c>
      <c r="C20" s="9">
        <v>8.4600000000000009</v>
      </c>
      <c r="D20" s="9">
        <v>5.84</v>
      </c>
      <c r="E20" s="9">
        <v>1.82</v>
      </c>
      <c r="F20" s="9">
        <v>0.2</v>
      </c>
      <c r="G20" s="9">
        <v>287</v>
      </c>
      <c r="H20" s="9">
        <f t="shared" si="3"/>
        <v>3.2087912087912085</v>
      </c>
      <c r="I20" s="9">
        <f t="shared" si="0"/>
        <v>0.10989010989010989</v>
      </c>
      <c r="J20" s="9">
        <f t="shared" si="1"/>
        <v>157.69230769230768</v>
      </c>
      <c r="K20" s="9">
        <f t="shared" si="2"/>
        <v>920.92307692307691</v>
      </c>
      <c r="L20" s="8">
        <v>12</v>
      </c>
      <c r="M20" s="9" t="s">
        <v>25</v>
      </c>
      <c r="N20" s="9">
        <v>3.14</v>
      </c>
      <c r="O20" s="9">
        <v>0.6</v>
      </c>
      <c r="P20" s="9">
        <v>0</v>
      </c>
      <c r="Q20" s="9">
        <v>0</v>
      </c>
      <c r="R20" s="9">
        <v>7.67</v>
      </c>
      <c r="S20" s="9">
        <v>104</v>
      </c>
      <c r="T20" s="9">
        <v>0.35</v>
      </c>
      <c r="U20" s="9">
        <v>0.2</v>
      </c>
      <c r="V20" s="9">
        <v>1.4999999999999999E-2</v>
      </c>
      <c r="W20" s="9">
        <v>156</v>
      </c>
      <c r="X20" s="9">
        <v>5.33</v>
      </c>
      <c r="Y20" s="9">
        <v>123.1</v>
      </c>
      <c r="Z20" s="9">
        <v>2.75</v>
      </c>
      <c r="AA20" s="9">
        <v>1.81</v>
      </c>
      <c r="AB20" s="9">
        <v>25.9</v>
      </c>
      <c r="AC20" s="9">
        <v>294.77</v>
      </c>
      <c r="AD20" s="9">
        <v>20.8</v>
      </c>
      <c r="AE20" s="9">
        <v>67.400000000000006</v>
      </c>
      <c r="AF20" s="9">
        <v>80.55</v>
      </c>
      <c r="AG20" s="9">
        <v>31</v>
      </c>
      <c r="AH20" s="22">
        <v>1.02</v>
      </c>
      <c r="AI20" s="22">
        <v>0.93300000000000005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</row>
    <row r="21" spans="1:958">
      <c r="A21" s="7">
        <v>20</v>
      </c>
      <c r="B21" s="2">
        <v>3</v>
      </c>
      <c r="C21" s="9">
        <v>6.22</v>
      </c>
      <c r="D21" s="9">
        <v>4.1900000000000004</v>
      </c>
      <c r="E21" s="9">
        <v>1.68</v>
      </c>
      <c r="F21" s="9">
        <v>0.08</v>
      </c>
      <c r="G21" s="9">
        <v>422</v>
      </c>
      <c r="H21" s="9">
        <f t="shared" si="3"/>
        <v>2.4940476190476195</v>
      </c>
      <c r="I21" s="9">
        <f t="shared" si="0"/>
        <v>4.7619047619047623E-2</v>
      </c>
      <c r="J21" s="9">
        <f t="shared" si="1"/>
        <v>251.1904761904762</v>
      </c>
      <c r="K21" s="9">
        <f t="shared" si="2"/>
        <v>1052.4880952380954</v>
      </c>
      <c r="L21" s="8">
        <v>4</v>
      </c>
      <c r="M21" s="9" t="s">
        <v>25</v>
      </c>
      <c r="N21" s="9">
        <v>4.4000000000000004</v>
      </c>
      <c r="O21" s="9">
        <v>0.27</v>
      </c>
      <c r="P21" s="9">
        <v>0</v>
      </c>
      <c r="Q21" s="9">
        <v>0</v>
      </c>
      <c r="R21" s="9">
        <v>7.04</v>
      </c>
      <c r="S21" s="9">
        <v>94</v>
      </c>
      <c r="T21" s="9">
        <v>0.3</v>
      </c>
      <c r="U21" s="9">
        <v>0.4</v>
      </c>
      <c r="V21" s="9">
        <v>2.5999999999999999E-3</v>
      </c>
      <c r="W21" s="9">
        <v>154.19999999999999</v>
      </c>
      <c r="X21" s="9">
        <v>4.4800000000000004</v>
      </c>
      <c r="Y21" s="9">
        <v>119.8</v>
      </c>
      <c r="Z21" s="9">
        <v>2.56</v>
      </c>
      <c r="AA21" s="9">
        <v>1.46</v>
      </c>
      <c r="AB21" s="9">
        <v>19.809999999999999</v>
      </c>
      <c r="AC21" s="9">
        <v>284.42</v>
      </c>
      <c r="AD21" s="9">
        <v>8.8000000000000007</v>
      </c>
      <c r="AE21" s="9">
        <v>26.6</v>
      </c>
      <c r="AF21" s="9">
        <v>68.760000000000005</v>
      </c>
      <c r="AG21" s="9">
        <v>27.22</v>
      </c>
      <c r="AH21" s="22">
        <v>1.028</v>
      </c>
      <c r="AI21" s="22">
        <v>0.24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</row>
    <row r="22" spans="1:958">
      <c r="A22" s="7">
        <v>21</v>
      </c>
      <c r="B22" s="2">
        <v>3</v>
      </c>
      <c r="C22" s="19">
        <v>11.15</v>
      </c>
      <c r="D22" s="9">
        <v>6.7</v>
      </c>
      <c r="E22" s="9">
        <v>3.48</v>
      </c>
      <c r="F22" s="9">
        <v>0.19</v>
      </c>
      <c r="G22" s="19">
        <v>529</v>
      </c>
      <c r="H22" s="9">
        <f t="shared" si="3"/>
        <v>1.9252873563218391</v>
      </c>
      <c r="I22" s="9">
        <f t="shared" si="0"/>
        <v>5.459770114942529E-2</v>
      </c>
      <c r="J22" s="9">
        <f t="shared" si="1"/>
        <v>152.01149425287358</v>
      </c>
      <c r="K22" s="9">
        <f t="shared" si="2"/>
        <v>1018.4770114942529</v>
      </c>
      <c r="L22" s="19">
        <v>15</v>
      </c>
      <c r="M22" s="19" t="s">
        <v>26</v>
      </c>
      <c r="N22" s="19">
        <v>3</v>
      </c>
      <c r="O22" s="9">
        <v>0.78</v>
      </c>
      <c r="P22" s="9">
        <v>0</v>
      </c>
      <c r="Q22" s="9">
        <v>0</v>
      </c>
      <c r="R22" s="20">
        <v>7.88</v>
      </c>
      <c r="S22" s="20">
        <v>100</v>
      </c>
      <c r="T22" s="20">
        <v>0.33</v>
      </c>
      <c r="U22" s="20"/>
      <c r="V22" s="16"/>
      <c r="W22" s="20">
        <v>150.6</v>
      </c>
      <c r="X22" s="20">
        <v>4.75</v>
      </c>
      <c r="Y22" s="20">
        <v>120.5</v>
      </c>
      <c r="Z22" s="20">
        <v>2.58</v>
      </c>
      <c r="AA22" s="20">
        <v>1.51</v>
      </c>
      <c r="AB22" s="20">
        <v>22.87</v>
      </c>
      <c r="AC22" s="20">
        <v>255.8</v>
      </c>
      <c r="AD22" s="20">
        <v>23.9</v>
      </c>
      <c r="AE22" s="20">
        <v>53.5</v>
      </c>
      <c r="AF22" s="20">
        <v>76.2</v>
      </c>
      <c r="AG22" s="20">
        <v>28.04</v>
      </c>
      <c r="AH22" s="24">
        <v>1.0209999999999999</v>
      </c>
      <c r="AI22" s="24">
        <v>0.61699999999999999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</row>
    <row r="23" spans="1:958">
      <c r="A23" s="15">
        <v>22</v>
      </c>
      <c r="B23" s="2">
        <v>3</v>
      </c>
      <c r="C23" s="15">
        <v>31.24</v>
      </c>
      <c r="D23" s="9">
        <v>28.38</v>
      </c>
      <c r="E23" s="9">
        <v>0.86</v>
      </c>
      <c r="F23" s="9">
        <v>1</v>
      </c>
      <c r="G23" s="15">
        <v>300</v>
      </c>
      <c r="H23" s="9">
        <f t="shared" si="3"/>
        <v>33</v>
      </c>
      <c r="I23" s="9">
        <f t="shared" si="0"/>
        <v>1.1627906976744187</v>
      </c>
      <c r="J23" s="9">
        <f t="shared" si="1"/>
        <v>348.83720930232556</v>
      </c>
      <c r="K23" s="9">
        <f t="shared" si="2"/>
        <v>9900</v>
      </c>
      <c r="L23" s="15">
        <v>10</v>
      </c>
      <c r="M23" s="15" t="s">
        <v>26</v>
      </c>
      <c r="N23" s="15">
        <v>2.2799999999999998</v>
      </c>
      <c r="O23" s="9">
        <v>0.99</v>
      </c>
      <c r="P23" s="9">
        <v>0</v>
      </c>
      <c r="Q23" s="9">
        <v>0.02</v>
      </c>
      <c r="R23" s="16">
        <v>8.48</v>
      </c>
      <c r="S23" s="16">
        <v>116</v>
      </c>
      <c r="T23" s="16">
        <v>0.37</v>
      </c>
      <c r="U23" s="16">
        <v>0.3</v>
      </c>
      <c r="V23" s="16"/>
      <c r="W23" s="16"/>
      <c r="X23" s="16"/>
      <c r="Y23" s="16"/>
      <c r="Z23" s="16">
        <v>2.4700000000000002</v>
      </c>
      <c r="AA23" s="16">
        <v>3.94</v>
      </c>
      <c r="AB23" s="16">
        <v>48.54</v>
      </c>
      <c r="AC23" s="16">
        <v>438.55</v>
      </c>
      <c r="AD23" s="16">
        <v>25.1</v>
      </c>
      <c r="AE23" s="16">
        <v>82.6</v>
      </c>
      <c r="AF23" s="16">
        <v>69.2</v>
      </c>
      <c r="AG23" s="16">
        <v>32.1</v>
      </c>
      <c r="AH23" s="23">
        <v>1.018</v>
      </c>
      <c r="AI23" s="23">
        <v>1.1100000000000001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</row>
    <row r="24" spans="1:958">
      <c r="A24" s="7">
        <v>23</v>
      </c>
      <c r="B24" s="2">
        <v>3</v>
      </c>
      <c r="C24" s="15">
        <v>14.88</v>
      </c>
      <c r="D24" s="9">
        <v>11.26</v>
      </c>
      <c r="E24" s="9">
        <v>2.36</v>
      </c>
      <c r="F24" s="9">
        <v>0.52</v>
      </c>
      <c r="G24" s="15">
        <v>100</v>
      </c>
      <c r="H24" s="9">
        <f t="shared" si="3"/>
        <v>4.7711864406779663</v>
      </c>
      <c r="I24" s="9">
        <f t="shared" si="0"/>
        <v>0.22033898305084748</v>
      </c>
      <c r="J24" s="9">
        <f t="shared" si="1"/>
        <v>42.372881355932208</v>
      </c>
      <c r="K24" s="9">
        <f t="shared" si="2"/>
        <v>477.11864406779665</v>
      </c>
      <c r="L24" s="15">
        <v>20</v>
      </c>
      <c r="M24" s="15" t="s">
        <v>30</v>
      </c>
      <c r="N24" s="15">
        <v>2.86</v>
      </c>
      <c r="O24" s="9">
        <v>0.72</v>
      </c>
      <c r="P24" s="9">
        <v>0</v>
      </c>
      <c r="Q24" s="9">
        <v>0.02</v>
      </c>
      <c r="R24" s="16">
        <v>6.72</v>
      </c>
      <c r="S24" s="16">
        <v>100</v>
      </c>
      <c r="T24" s="16">
        <v>0.34</v>
      </c>
      <c r="U24" s="16">
        <v>0.1</v>
      </c>
      <c r="V24" s="16"/>
      <c r="W24" s="16">
        <v>171.2</v>
      </c>
      <c r="X24" s="16">
        <v>4.5999999999999996</v>
      </c>
      <c r="Y24" s="16">
        <v>130.69999999999999</v>
      </c>
      <c r="Z24" s="16">
        <v>2.84</v>
      </c>
      <c r="AA24" s="16">
        <v>2.11</v>
      </c>
      <c r="AB24" s="16">
        <v>30</v>
      </c>
      <c r="AC24" s="16">
        <v>261</v>
      </c>
      <c r="AD24" s="16">
        <v>52.9</v>
      </c>
      <c r="AE24" s="16">
        <v>244.1</v>
      </c>
      <c r="AF24" s="16">
        <v>86.7</v>
      </c>
      <c r="AG24" s="16">
        <v>31.5</v>
      </c>
      <c r="AH24" s="23">
        <v>1.0249999999999999</v>
      </c>
      <c r="AI24" s="23">
        <v>1.1819999999999999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</row>
    <row r="25" spans="1:958">
      <c r="A25" s="7">
        <v>24</v>
      </c>
      <c r="B25" s="2">
        <v>3</v>
      </c>
      <c r="C25" s="15">
        <v>17.12</v>
      </c>
      <c r="D25" s="9">
        <v>14.45</v>
      </c>
      <c r="E25" s="9">
        <v>1.63</v>
      </c>
      <c r="F25" s="9">
        <v>0.54</v>
      </c>
      <c r="G25" s="15">
        <v>660</v>
      </c>
      <c r="H25" s="9">
        <f t="shared" si="3"/>
        <v>8.8650306748466257</v>
      </c>
      <c r="I25" s="9">
        <f t="shared" si="0"/>
        <v>0.33128834355828224</v>
      </c>
      <c r="J25" s="9">
        <f t="shared" si="1"/>
        <v>404.90797546012271</v>
      </c>
      <c r="K25" s="9">
        <f t="shared" si="2"/>
        <v>5850.9202453987737</v>
      </c>
      <c r="L25" s="15">
        <v>10</v>
      </c>
      <c r="M25" s="15" t="s">
        <v>29</v>
      </c>
      <c r="N25" s="15">
        <v>3.3</v>
      </c>
      <c r="O25" s="9">
        <v>0.48</v>
      </c>
      <c r="P25" s="9">
        <v>0</v>
      </c>
      <c r="Q25" s="9">
        <v>0.02</v>
      </c>
      <c r="R25" s="16">
        <v>6.4</v>
      </c>
      <c r="S25" s="16">
        <v>92</v>
      </c>
      <c r="T25" s="16">
        <v>0.28999999999999998</v>
      </c>
      <c r="U25" s="16">
        <v>0.2</v>
      </c>
      <c r="V25" s="16"/>
      <c r="W25" s="16">
        <v>157.5</v>
      </c>
      <c r="X25" s="16">
        <v>4.42</v>
      </c>
      <c r="Y25" s="16">
        <v>120.9</v>
      </c>
      <c r="Z25" s="16">
        <v>2.88</v>
      </c>
      <c r="AA25" s="16">
        <v>2.88</v>
      </c>
      <c r="AB25" s="16">
        <v>28.54</v>
      </c>
      <c r="AC25" s="16">
        <v>275.5</v>
      </c>
      <c r="AD25" s="16">
        <v>12.5</v>
      </c>
      <c r="AE25" s="16">
        <v>116.8</v>
      </c>
      <c r="AF25" s="16">
        <v>69.3</v>
      </c>
      <c r="AG25" s="16">
        <v>30.43</v>
      </c>
      <c r="AH25" s="23">
        <v>1.02</v>
      </c>
      <c r="AI25" s="23">
        <v>0.71199999999999997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</row>
    <row r="26" spans="1:958">
      <c r="A26" s="15">
        <v>25</v>
      </c>
      <c r="B26" s="2">
        <v>3</v>
      </c>
      <c r="C26" s="7">
        <v>6.92</v>
      </c>
      <c r="D26" s="7">
        <v>5.77</v>
      </c>
      <c r="E26" s="7">
        <v>0.82</v>
      </c>
      <c r="F26" s="7">
        <v>0.25</v>
      </c>
      <c r="G26" s="7">
        <v>168</v>
      </c>
      <c r="H26" s="9">
        <f t="shared" si="3"/>
        <v>7.0365853658536581</v>
      </c>
      <c r="I26" s="9">
        <f t="shared" si="0"/>
        <v>0.3048780487804878</v>
      </c>
      <c r="J26" s="9">
        <f t="shared" si="1"/>
        <v>204.87804878048783</v>
      </c>
      <c r="K26" s="9">
        <f t="shared" si="2"/>
        <v>1182.1463414634145</v>
      </c>
      <c r="L26" s="15">
        <v>19</v>
      </c>
      <c r="M26" s="15" t="s">
        <v>30</v>
      </c>
      <c r="N26" s="15">
        <v>3.4</v>
      </c>
      <c r="O26" s="9">
        <v>0.26</v>
      </c>
      <c r="P26" s="9">
        <v>0.01</v>
      </c>
      <c r="Q26" s="9">
        <v>0.01</v>
      </c>
      <c r="R26" s="16">
        <v>9.77</v>
      </c>
      <c r="S26" s="16">
        <v>116</v>
      </c>
      <c r="T26" s="16">
        <v>0.34</v>
      </c>
      <c r="U26" s="16">
        <v>0.7</v>
      </c>
      <c r="V26" s="16">
        <v>6.7000000000000004E-2</v>
      </c>
      <c r="W26" s="16"/>
      <c r="X26" s="16"/>
      <c r="Y26" s="16"/>
      <c r="Z26" s="16"/>
      <c r="AA26" s="16">
        <v>2.02</v>
      </c>
      <c r="AB26" s="9">
        <v>29.8</v>
      </c>
      <c r="AC26" s="9">
        <v>302</v>
      </c>
      <c r="AD26" s="16"/>
      <c r="AE26" s="16"/>
      <c r="AF26" s="16"/>
      <c r="AG26" s="16"/>
      <c r="AH26" s="23">
        <v>1.014</v>
      </c>
      <c r="AI26" s="23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</row>
    <row r="27" spans="1:958">
      <c r="A27" s="7">
        <v>26</v>
      </c>
      <c r="B27" s="2">
        <v>3</v>
      </c>
      <c r="C27" s="7">
        <v>10.87</v>
      </c>
      <c r="D27" s="7">
        <v>7.52</v>
      </c>
      <c r="E27" s="7">
        <v>2.99</v>
      </c>
      <c r="F27" s="7">
        <v>0.26</v>
      </c>
      <c r="G27" s="7">
        <v>279</v>
      </c>
      <c r="H27" s="9">
        <f t="shared" si="3"/>
        <v>2.5150501672240799</v>
      </c>
      <c r="I27" s="9">
        <f t="shared" si="0"/>
        <v>8.6956521739130432E-2</v>
      </c>
      <c r="J27" s="9">
        <f t="shared" si="1"/>
        <v>93.311036789297646</v>
      </c>
      <c r="K27" s="9">
        <f t="shared" si="2"/>
        <v>701.69899665551827</v>
      </c>
      <c r="L27" s="15"/>
      <c r="M27" s="15"/>
      <c r="N27" s="15"/>
      <c r="O27" s="9">
        <v>0.09</v>
      </c>
      <c r="P27" s="9">
        <v>0</v>
      </c>
      <c r="Q27" s="9">
        <v>0.01</v>
      </c>
      <c r="R27" s="16">
        <v>6.62</v>
      </c>
      <c r="S27" s="16">
        <v>101</v>
      </c>
      <c r="T27" s="16">
        <v>0.28999999999999998</v>
      </c>
      <c r="U27" s="16">
        <v>0.4</v>
      </c>
      <c r="V27" s="16">
        <v>2.4E-2</v>
      </c>
      <c r="W27" s="16">
        <v>144.1</v>
      </c>
      <c r="X27" s="16">
        <v>3.08</v>
      </c>
      <c r="Y27" s="16">
        <v>96.3</v>
      </c>
      <c r="Z27" s="16"/>
      <c r="AA27" s="16"/>
      <c r="AB27" s="9">
        <v>33.409999999999997</v>
      </c>
      <c r="AC27" s="9">
        <v>298.05</v>
      </c>
      <c r="AD27" s="16">
        <v>10.74</v>
      </c>
      <c r="AE27" s="16">
        <v>59.12</v>
      </c>
      <c r="AF27" s="16">
        <v>86.39</v>
      </c>
      <c r="AG27" s="16">
        <v>32.229999999999997</v>
      </c>
      <c r="AH27" s="23"/>
      <c r="AI27" s="23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</row>
    <row r="28" spans="1:958"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4"/>
      <c r="AI28" s="4"/>
    </row>
    <row r="29" spans="1:958"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"/>
      <c r="AI29" s="4"/>
    </row>
    <row r="30" spans="1:958"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  <c r="AI30" s="4"/>
    </row>
    <row r="31" spans="1:958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Control group</vt:lpstr>
      <vt:lpstr>IRIS 1+2</vt:lpstr>
      <vt:lpstr>IRIS 3+4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Krofič Žel, Martina</dc:creator>
  <cp:lastModifiedBy>Элеонора Ткач</cp:lastModifiedBy>
  <dcterms:created xsi:type="dcterms:W3CDTF">2024-05-07T05:18:29Z</dcterms:created>
  <dcterms:modified xsi:type="dcterms:W3CDTF">2026-10-04T17:15:46Z</dcterms:modified>
</cp:coreProperties>
</file>