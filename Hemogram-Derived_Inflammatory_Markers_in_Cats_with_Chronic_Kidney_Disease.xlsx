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vlinda\Documents\Članki\CKD NLR\"/>
    </mc:Choice>
  </mc:AlternateContent>
  <xr:revisionPtr revIDLastSave="0" documentId="8_{F20A71E9-AE1F-44B8-ACB5-7935C128CA50}" xr6:coauthVersionLast="47" xr6:coauthVersionMax="47" xr10:uidLastSave="{00000000-0000-0000-0000-000000000000}"/>
  <bookViews>
    <workbookView xWindow="-118" yWindow="-118" windowWidth="25370" windowHeight="13667" activeTab="2" xr2:uid="{C851F41E-8923-41C4-A343-F7FE0E458BDC}"/>
  </bookViews>
  <sheets>
    <sheet name="Control group" sheetId="1" r:id="rId1"/>
    <sheet name="IRIS 1+2" sheetId="2" r:id="rId2"/>
    <sheet name="IRIS 3+4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7" i="3" l="1"/>
  <c r="J27" i="3"/>
  <c r="I27" i="3"/>
  <c r="H27" i="3"/>
  <c r="K26" i="3"/>
  <c r="J26" i="3"/>
  <c r="I26" i="3"/>
  <c r="H26" i="3"/>
  <c r="K25" i="3"/>
  <c r="J25" i="3"/>
  <c r="I25" i="3"/>
  <c r="H25" i="3"/>
  <c r="K24" i="3"/>
  <c r="J24" i="3"/>
  <c r="I24" i="3"/>
  <c r="H24" i="3"/>
  <c r="K23" i="3"/>
  <c r="J23" i="3"/>
  <c r="I23" i="3"/>
  <c r="H23" i="3"/>
  <c r="K22" i="3"/>
  <c r="J22" i="3"/>
  <c r="I22" i="3"/>
  <c r="H22" i="3"/>
  <c r="K21" i="3"/>
  <c r="J21" i="3"/>
  <c r="I21" i="3"/>
  <c r="H21" i="3"/>
  <c r="K20" i="3"/>
  <c r="J20" i="3"/>
  <c r="I20" i="3"/>
  <c r="H20" i="3"/>
  <c r="K19" i="3"/>
  <c r="J19" i="3"/>
  <c r="I19" i="3"/>
  <c r="H19" i="3"/>
  <c r="K18" i="3"/>
  <c r="J18" i="3"/>
  <c r="I18" i="3"/>
  <c r="H18" i="3"/>
  <c r="K17" i="3"/>
  <c r="J17" i="3"/>
  <c r="I17" i="3"/>
  <c r="H17" i="3"/>
  <c r="K16" i="3"/>
  <c r="J16" i="3"/>
  <c r="I16" i="3"/>
  <c r="H16" i="3"/>
  <c r="K15" i="3"/>
  <c r="J15" i="3"/>
  <c r="I15" i="3"/>
  <c r="H15" i="3"/>
  <c r="K14" i="3"/>
  <c r="J14" i="3"/>
  <c r="I14" i="3"/>
  <c r="H14" i="3"/>
  <c r="K13" i="3"/>
  <c r="J13" i="3"/>
  <c r="I13" i="3"/>
  <c r="H13" i="3"/>
  <c r="K12" i="3"/>
  <c r="J12" i="3"/>
  <c r="I12" i="3"/>
  <c r="H12" i="3"/>
  <c r="K11" i="3"/>
  <c r="J11" i="3"/>
  <c r="I11" i="3"/>
  <c r="H11" i="3"/>
  <c r="K10" i="3"/>
  <c r="J10" i="3"/>
  <c r="I10" i="3"/>
  <c r="H10" i="3"/>
  <c r="K9" i="3"/>
  <c r="J9" i="3"/>
  <c r="I9" i="3"/>
  <c r="H9" i="3"/>
  <c r="K8" i="3"/>
  <c r="J8" i="3"/>
  <c r="I8" i="3"/>
  <c r="H8" i="3"/>
  <c r="K7" i="3"/>
  <c r="J7" i="3"/>
  <c r="I7" i="3"/>
  <c r="H7" i="3"/>
  <c r="K6" i="3"/>
  <c r="J6" i="3"/>
  <c r="I6" i="3"/>
  <c r="H6" i="3"/>
  <c r="K5" i="3"/>
  <c r="J5" i="3"/>
  <c r="I5" i="3"/>
  <c r="H5" i="3"/>
  <c r="K4" i="3"/>
  <c r="J4" i="3"/>
  <c r="I4" i="3"/>
  <c r="H4" i="3"/>
  <c r="K3" i="3"/>
  <c r="J3" i="3"/>
  <c r="I3" i="3"/>
  <c r="H3" i="3"/>
  <c r="K2" i="3"/>
  <c r="J2" i="3"/>
  <c r="I2" i="3"/>
  <c r="H2" i="3"/>
  <c r="L63" i="2"/>
  <c r="K63" i="2"/>
  <c r="J63" i="2"/>
  <c r="I63" i="2"/>
  <c r="L62" i="2"/>
  <c r="K62" i="2"/>
  <c r="J62" i="2"/>
  <c r="I62" i="2"/>
  <c r="L61" i="2"/>
  <c r="K61" i="2"/>
  <c r="J61" i="2"/>
  <c r="I61" i="2"/>
  <c r="L60" i="2"/>
  <c r="K60" i="2"/>
  <c r="J60" i="2"/>
  <c r="I60" i="2"/>
  <c r="L59" i="2"/>
  <c r="K59" i="2"/>
  <c r="J59" i="2"/>
  <c r="I59" i="2"/>
  <c r="L58" i="2"/>
  <c r="K58" i="2"/>
  <c r="J58" i="2"/>
  <c r="I58" i="2"/>
  <c r="L57" i="2"/>
  <c r="K57" i="2"/>
  <c r="J57" i="2"/>
  <c r="I57" i="2"/>
  <c r="L56" i="2"/>
  <c r="K56" i="2"/>
  <c r="J56" i="2"/>
  <c r="I56" i="2"/>
  <c r="L55" i="2"/>
  <c r="K55" i="2"/>
  <c r="J55" i="2"/>
  <c r="I55" i="2"/>
  <c r="L54" i="2"/>
  <c r="K54" i="2"/>
  <c r="J54" i="2"/>
  <c r="I54" i="2"/>
  <c r="L53" i="2"/>
  <c r="K53" i="2"/>
  <c r="J53" i="2"/>
  <c r="I53" i="2"/>
  <c r="L52" i="2"/>
  <c r="K52" i="2"/>
  <c r="J52" i="2"/>
  <c r="I52" i="2"/>
  <c r="L51" i="2"/>
  <c r="K51" i="2"/>
  <c r="J51" i="2"/>
  <c r="I51" i="2"/>
  <c r="L50" i="2"/>
  <c r="K50" i="2"/>
  <c r="J50" i="2"/>
  <c r="I50" i="2"/>
  <c r="L49" i="2"/>
  <c r="K49" i="2"/>
  <c r="J49" i="2"/>
  <c r="I49" i="2"/>
  <c r="L48" i="2"/>
  <c r="K48" i="2"/>
  <c r="J48" i="2"/>
  <c r="I48" i="2"/>
  <c r="L47" i="2"/>
  <c r="K47" i="2"/>
  <c r="J47" i="2"/>
  <c r="I47" i="2"/>
  <c r="L46" i="2"/>
  <c r="K46" i="2"/>
  <c r="J46" i="2"/>
  <c r="I46" i="2"/>
  <c r="L45" i="2"/>
  <c r="K45" i="2"/>
  <c r="J45" i="2"/>
  <c r="I45" i="2"/>
  <c r="L44" i="2"/>
  <c r="K44" i="2"/>
  <c r="J44" i="2"/>
  <c r="I44" i="2"/>
  <c r="L43" i="2"/>
  <c r="K43" i="2"/>
  <c r="J43" i="2"/>
  <c r="I43" i="2"/>
  <c r="L42" i="2"/>
  <c r="K42" i="2"/>
  <c r="J42" i="2"/>
  <c r="I42" i="2"/>
  <c r="L41" i="2"/>
  <c r="K41" i="2"/>
  <c r="J41" i="2"/>
  <c r="I41" i="2"/>
  <c r="L40" i="2"/>
  <c r="K40" i="2"/>
  <c r="J40" i="2"/>
  <c r="I40" i="2"/>
  <c r="L39" i="2"/>
  <c r="K39" i="2"/>
  <c r="J39" i="2"/>
  <c r="I39" i="2"/>
  <c r="L38" i="2"/>
  <c r="K38" i="2"/>
  <c r="J38" i="2"/>
  <c r="I38" i="2"/>
  <c r="L37" i="2"/>
  <c r="K37" i="2"/>
  <c r="J37" i="2"/>
  <c r="I37" i="2"/>
  <c r="L36" i="2"/>
  <c r="K36" i="2"/>
  <c r="J36" i="2"/>
  <c r="I36" i="2"/>
  <c r="L35" i="2"/>
  <c r="K35" i="2"/>
  <c r="J35" i="2"/>
  <c r="I35" i="2"/>
  <c r="L34" i="2"/>
  <c r="K34" i="2"/>
  <c r="J34" i="2"/>
  <c r="I34" i="2"/>
  <c r="L33" i="2"/>
  <c r="K33" i="2"/>
  <c r="J33" i="2"/>
  <c r="I33" i="2"/>
  <c r="L32" i="2"/>
  <c r="K32" i="2"/>
  <c r="J32" i="2"/>
  <c r="I32" i="2"/>
  <c r="L31" i="2"/>
  <c r="K31" i="2"/>
  <c r="J31" i="2"/>
  <c r="I31" i="2"/>
  <c r="L30" i="2"/>
  <c r="K30" i="2"/>
  <c r="J30" i="2"/>
  <c r="I30" i="2"/>
  <c r="L29" i="2"/>
  <c r="K29" i="2"/>
  <c r="J29" i="2"/>
  <c r="I29" i="2"/>
  <c r="L28" i="2"/>
  <c r="K28" i="2"/>
  <c r="J28" i="2"/>
  <c r="I28" i="2"/>
  <c r="L27" i="2"/>
  <c r="K27" i="2"/>
  <c r="J27" i="2"/>
  <c r="I27" i="2"/>
  <c r="L26" i="2"/>
  <c r="K26" i="2"/>
  <c r="J26" i="2"/>
  <c r="I26" i="2"/>
  <c r="L25" i="2"/>
  <c r="K25" i="2"/>
  <c r="J25" i="2"/>
  <c r="I25" i="2"/>
  <c r="L24" i="2"/>
  <c r="K24" i="2"/>
  <c r="J24" i="2"/>
  <c r="I24" i="2"/>
  <c r="L23" i="2"/>
  <c r="K23" i="2"/>
  <c r="J23" i="2"/>
  <c r="I23" i="2"/>
  <c r="L22" i="2"/>
  <c r="K22" i="2"/>
  <c r="J22" i="2"/>
  <c r="I22" i="2"/>
  <c r="L21" i="2"/>
  <c r="K21" i="2"/>
  <c r="J21" i="2"/>
  <c r="I21" i="2"/>
  <c r="L20" i="2"/>
  <c r="K20" i="2"/>
  <c r="J20" i="2"/>
  <c r="I20" i="2"/>
  <c r="L19" i="2"/>
  <c r="K19" i="2"/>
  <c r="J19" i="2"/>
  <c r="I19" i="2"/>
  <c r="L18" i="2"/>
  <c r="K18" i="2"/>
  <c r="J18" i="2"/>
  <c r="I18" i="2"/>
  <c r="L17" i="2"/>
  <c r="K17" i="2"/>
  <c r="J17" i="2"/>
  <c r="I17" i="2"/>
  <c r="L16" i="2"/>
  <c r="K16" i="2"/>
  <c r="J16" i="2"/>
  <c r="I16" i="2"/>
  <c r="L15" i="2"/>
  <c r="K15" i="2"/>
  <c r="J15" i="2"/>
  <c r="I15" i="2"/>
  <c r="L14" i="2"/>
  <c r="K14" i="2"/>
  <c r="J14" i="2"/>
  <c r="I14" i="2"/>
  <c r="L13" i="2"/>
  <c r="K13" i="2"/>
  <c r="J13" i="2"/>
  <c r="I13" i="2"/>
  <c r="L12" i="2"/>
  <c r="K12" i="2"/>
  <c r="J12" i="2"/>
  <c r="I12" i="2"/>
  <c r="L11" i="2"/>
  <c r="K11" i="2"/>
  <c r="J11" i="2"/>
  <c r="I11" i="2"/>
  <c r="L10" i="2"/>
  <c r="K10" i="2"/>
  <c r="J10" i="2"/>
  <c r="I10" i="2"/>
  <c r="L9" i="2"/>
  <c r="K9" i="2"/>
  <c r="J9" i="2"/>
  <c r="I9" i="2"/>
  <c r="L8" i="2"/>
  <c r="K8" i="2"/>
  <c r="J8" i="2"/>
  <c r="I8" i="2"/>
  <c r="L7" i="2"/>
  <c r="K7" i="2"/>
  <c r="J7" i="2"/>
  <c r="I7" i="2"/>
  <c r="L6" i="2"/>
  <c r="K6" i="2"/>
  <c r="J6" i="2"/>
  <c r="I6" i="2"/>
  <c r="L5" i="2"/>
  <c r="K5" i="2"/>
  <c r="J5" i="2"/>
  <c r="I5" i="2"/>
  <c r="L4" i="2"/>
  <c r="K4" i="2"/>
  <c r="J4" i="2"/>
  <c r="I4" i="2"/>
  <c r="L3" i="2"/>
  <c r="K3" i="2"/>
  <c r="J3" i="2"/>
  <c r="I3" i="2"/>
  <c r="L2" i="2"/>
  <c r="K2" i="2"/>
  <c r="J2" i="2"/>
  <c r="I2" i="2"/>
</calcChain>
</file>

<file path=xl/sharedStrings.xml><?xml version="1.0" encoding="utf-8"?>
<sst xmlns="http://schemas.openxmlformats.org/spreadsheetml/2006/main" count="235" uniqueCount="50">
  <si>
    <t>WBC</t>
  </si>
  <si>
    <t>neut</t>
  </si>
  <si>
    <t>lym</t>
  </si>
  <si>
    <t>mono</t>
  </si>
  <si>
    <t>PLT</t>
  </si>
  <si>
    <t>NLR</t>
  </si>
  <si>
    <t>MLR</t>
  </si>
  <si>
    <t>PLR</t>
  </si>
  <si>
    <t>SII</t>
  </si>
  <si>
    <t>telesna teža (kg)</t>
  </si>
  <si>
    <t>eos</t>
  </si>
  <si>
    <t>baso</t>
  </si>
  <si>
    <t>luc</t>
  </si>
  <si>
    <t>RBC</t>
  </si>
  <si>
    <t>HGB</t>
  </si>
  <si>
    <t>HCT</t>
  </si>
  <si>
    <t>ret %</t>
  </si>
  <si>
    <t>ret</t>
  </si>
  <si>
    <t>Na (mmol/l)</t>
  </si>
  <si>
    <t>K (mmol/l)</t>
  </si>
  <si>
    <t>Cl (mmol/l)</t>
  </si>
  <si>
    <t>Ca (mmol/l)</t>
  </si>
  <si>
    <t>aP (mmol/l)</t>
  </si>
  <si>
    <t>AP (U/l)</t>
  </si>
  <si>
    <t>ALT (U/l)</t>
  </si>
  <si>
    <t>UPC</t>
  </si>
  <si>
    <t>k</t>
  </si>
  <si>
    <t>ž (s)</t>
  </si>
  <si>
    <t>s</t>
  </si>
  <si>
    <t>m</t>
  </si>
  <si>
    <t>m(k)</t>
  </si>
  <si>
    <t>ž(s)</t>
  </si>
  <si>
    <t>m (k)</t>
  </si>
  <si>
    <t xml:space="preserve">s </t>
  </si>
  <si>
    <t>SDMA(mikrog/dl)</t>
  </si>
  <si>
    <t>Age</t>
  </si>
  <si>
    <t>Sex (m/ž/k/s)</t>
  </si>
  <si>
    <t>Weight (kg)</t>
  </si>
  <si>
    <t>BUN(mmol/l)</t>
  </si>
  <si>
    <t>Crea  (mikromol/l)</t>
  </si>
  <si>
    <t>TP</t>
  </si>
  <si>
    <t>ALB</t>
  </si>
  <si>
    <t>USG</t>
  </si>
  <si>
    <t>Patient No</t>
  </si>
  <si>
    <t>Iris stage</t>
  </si>
  <si>
    <t>Sex</t>
  </si>
  <si>
    <t>Weight</t>
  </si>
  <si>
    <t>BUN (mmol/l)</t>
  </si>
  <si>
    <t>Crea (mikromol/l)</t>
  </si>
  <si>
    <t>IRIS stage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</si>
</sst>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[$-424]General"/>
    <numFmt numFmtId="166" formatCode="0.0"/>
    <numFmt numFmtId="167" formatCode="0.0000"/>
  </numFmts>
  <fonts count="7">
    <font>
      <sz val="11"/>
      <color theme="1"/>
      <name val="Aptos Narrow"/>
      <family val="2"/>
      <charset val="238"/>
      <scheme val="minor"/>
    </font>
    <font>
      <sz val="10"/>
      <color theme="1"/>
      <name val="Arial CE"/>
      <charset val="238"/>
    </font>
    <font>
      <sz val="10"/>
      <color rgb="FF339966"/>
      <name val="Arial CE1"/>
      <charset val="238"/>
    </font>
    <font>
      <sz val="10"/>
      <color rgb="FFFF0000"/>
      <name val="Arial CE1"/>
      <charset val="238"/>
    </font>
    <font>
      <sz val="11"/>
      <name val="Aptos Narrow"/>
      <family val="2"/>
      <charset val="238"/>
      <scheme val="minor"/>
    </font>
    <font>
      <sz val="10"/>
      <name val="Arial CE"/>
      <charset val="238"/>
    </font>
    <font>
      <sz val="10"/>
      <name val="Arial CE1"/>
      <charset val="238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165" fontId="1" fillId="0" borderId="0"/>
  </cellStyleXfs>
  <cellXfs count="28">
    <xf numFmtId="0" fontId="0" fillId="0" borderId="0" xfId="0"/>
    <xf numFmtId="2" fontId="0" fillId="0" borderId="2" xfId="0" applyNumberFormat="1" applyBorder="1"/>
    <xf numFmtId="165" fontId="1" fillId="0" borderId="0" xfId="1"/>
    <xf numFmtId="2" fontId="0" fillId="0" borderId="0" xfId="0" applyNumberFormat="1"/>
    <xf numFmtId="164" fontId="0" fillId="0" borderId="0" xfId="0" applyNumberFormat="1"/>
    <xf numFmtId="165" fontId="2" fillId="0" borderId="0" xfId="1" applyFont="1"/>
    <xf numFmtId="165" fontId="3" fillId="0" borderId="0" xfId="1" applyFont="1"/>
    <xf numFmtId="0" fontId="4" fillId="0" borderId="0" xfId="0" applyFont="1"/>
    <xf numFmtId="1" fontId="4" fillId="0" borderId="0" xfId="0" applyNumberFormat="1" applyFont="1"/>
    <xf numFmtId="2" fontId="4" fillId="0" borderId="0" xfId="0" applyNumberFormat="1" applyFont="1"/>
    <xf numFmtId="167" fontId="0" fillId="0" borderId="0" xfId="0" applyNumberFormat="1"/>
    <xf numFmtId="0" fontId="4" fillId="0" borderId="1" xfId="0" applyFont="1" applyBorder="1"/>
    <xf numFmtId="2" fontId="4" fillId="0" borderId="2" xfId="0" applyNumberFormat="1" applyFont="1" applyBorder="1"/>
    <xf numFmtId="2" fontId="4" fillId="0" borderId="2" xfId="0" applyNumberFormat="1" applyFont="1" applyBorder="1" applyAlignment="1">
      <alignment horizontal="center"/>
    </xf>
    <xf numFmtId="166" fontId="4" fillId="0" borderId="2" xfId="0" applyNumberFormat="1" applyFont="1" applyBorder="1"/>
    <xf numFmtId="164" fontId="4" fillId="0" borderId="2" xfId="0" applyNumberFormat="1" applyFont="1" applyBorder="1"/>
    <xf numFmtId="165" fontId="5" fillId="0" borderId="0" xfId="1" applyFont="1"/>
    <xf numFmtId="2" fontId="4" fillId="0" borderId="0" xfId="0" applyNumberFormat="1" applyFont="1" applyAlignment="1">
      <alignment horizontal="center"/>
    </xf>
    <xf numFmtId="2" fontId="5" fillId="0" borderId="0" xfId="1" applyNumberFormat="1" applyFont="1"/>
    <xf numFmtId="166" fontId="5" fillId="0" borderId="0" xfId="1" applyNumberFormat="1" applyFont="1"/>
    <xf numFmtId="166" fontId="4" fillId="0" borderId="0" xfId="0" applyNumberFormat="1" applyFont="1"/>
    <xf numFmtId="165" fontId="6" fillId="0" borderId="0" xfId="1" applyFont="1"/>
    <xf numFmtId="2" fontId="6" fillId="0" borderId="0" xfId="1" applyNumberFormat="1" applyFont="1"/>
    <xf numFmtId="166" fontId="6" fillId="0" borderId="0" xfId="1" applyNumberFormat="1" applyFont="1"/>
    <xf numFmtId="164" fontId="4" fillId="0" borderId="0" xfId="0" applyNumberFormat="1" applyFont="1"/>
    <xf numFmtId="0" fontId="4" fillId="0" borderId="0" xfId="0" applyFont="1" applyAlignment="1">
      <alignment horizontal="center"/>
    </xf>
    <xf numFmtId="164" fontId="5" fillId="0" borderId="0" xfId="1" applyNumberFormat="1" applyFont="1"/>
    <xf numFmtId="164" fontId="6" fillId="0" borderId="0" xfId="1" applyNumberFormat="1" applyFont="1"/>
  </cellXfs>
  <cellStyles count="2">
    <cellStyle name="Excel Built-in Normal" xfId="1" xr:uid="{CFF27D26-FE79-46AD-8C9D-C5A8BF20ADE9}"/>
    <cellStyle name="Navadno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ova tema">
  <a:themeElements>
    <a:clrScheme name="Pisarna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isarna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isarn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37F9D-C6D6-4B4C-8536-212B4CF9A72E}">
  <dimension ref="A1:AM38"/>
  <sheetViews>
    <sheetView topLeftCell="A7" workbookViewId="0">
      <selection activeCell="E34" sqref="E34"/>
    </sheetView>
  </sheetViews>
  <sheetFormatPr defaultRowHeight="15.05"/>
  <cols>
    <col min="1" max="1" width="9.77734375" bestFit="1" customWidth="1"/>
    <col min="7" max="7" width="9.5546875" bestFit="1" customWidth="1"/>
    <col min="8" max="8" width="9.109375" bestFit="1" customWidth="1"/>
    <col min="9" max="9" width="10.5546875" bestFit="1" customWidth="1"/>
    <col min="10" max="10" width="11.5546875" bestFit="1" customWidth="1"/>
    <col min="12" max="12" width="10.77734375" bestFit="1" customWidth="1"/>
  </cols>
  <sheetData>
    <row r="1" spans="1:39">
      <c r="A1" t="s">
        <v>43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35</v>
      </c>
      <c r="L1" t="s">
        <v>36</v>
      </c>
      <c r="M1" t="s">
        <v>37</v>
      </c>
      <c r="N1" t="s">
        <v>0</v>
      </c>
      <c r="O1" t="s">
        <v>1</v>
      </c>
      <c r="P1" t="s">
        <v>2</v>
      </c>
      <c r="Q1" t="s">
        <v>3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4</v>
      </c>
      <c r="Y1" t="s">
        <v>16</v>
      </c>
      <c r="Z1" t="s">
        <v>17</v>
      </c>
      <c r="AA1" t="s">
        <v>18</v>
      </c>
      <c r="AB1" t="s">
        <v>19</v>
      </c>
      <c r="AC1" t="s">
        <v>20</v>
      </c>
      <c r="AD1" t="s">
        <v>21</v>
      </c>
      <c r="AE1" t="s">
        <v>22</v>
      </c>
      <c r="AF1" t="s">
        <v>38</v>
      </c>
      <c r="AG1" t="s">
        <v>39</v>
      </c>
      <c r="AH1" t="s">
        <v>23</v>
      </c>
      <c r="AI1" t="s">
        <v>24</v>
      </c>
      <c r="AJ1" t="s">
        <v>40</v>
      </c>
      <c r="AK1" t="s">
        <v>41</v>
      </c>
      <c r="AL1" t="s">
        <v>42</v>
      </c>
      <c r="AM1" t="s">
        <v>25</v>
      </c>
    </row>
    <row r="2" spans="1:39">
      <c r="A2">
        <v>1</v>
      </c>
      <c r="B2">
        <v>6.73</v>
      </c>
      <c r="C2">
        <v>5.15</v>
      </c>
      <c r="D2">
        <v>1.04</v>
      </c>
      <c r="E2">
        <v>0.18</v>
      </c>
      <c r="F2">
        <v>232</v>
      </c>
      <c r="G2" s="4">
        <v>4.9519230769230775</v>
      </c>
      <c r="H2" s="4">
        <v>0.17307692307692307</v>
      </c>
      <c r="I2" s="4">
        <v>223.07692307692307</v>
      </c>
      <c r="J2" s="4">
        <v>1148.846153846154</v>
      </c>
      <c r="K2">
        <v>19</v>
      </c>
      <c r="L2" t="s">
        <v>27</v>
      </c>
      <c r="M2">
        <v>8</v>
      </c>
      <c r="N2" s="3">
        <v>6.73</v>
      </c>
      <c r="O2" s="3">
        <v>5.15</v>
      </c>
      <c r="P2" s="3">
        <v>1.04</v>
      </c>
      <c r="Q2" s="3">
        <v>0.18</v>
      </c>
      <c r="R2" s="3">
        <v>0.36</v>
      </c>
      <c r="S2" s="3">
        <v>0.01</v>
      </c>
      <c r="T2" s="3">
        <v>0</v>
      </c>
      <c r="U2" s="3">
        <v>9.4499999999999993</v>
      </c>
      <c r="V2" s="3">
        <v>128</v>
      </c>
      <c r="W2" s="3">
        <v>0.42</v>
      </c>
      <c r="X2" s="3">
        <v>199</v>
      </c>
      <c r="Y2" s="3"/>
      <c r="Z2" s="3"/>
      <c r="AA2" s="3">
        <v>152.9</v>
      </c>
      <c r="AB2" s="3">
        <v>3.46</v>
      </c>
      <c r="AC2" s="3">
        <v>120.8</v>
      </c>
      <c r="AD2" s="3">
        <v>2.25</v>
      </c>
      <c r="AE2" s="3">
        <v>1.63</v>
      </c>
      <c r="AF2" s="3">
        <v>13.24</v>
      </c>
      <c r="AG2" s="3">
        <v>136.4</v>
      </c>
      <c r="AH2" s="3">
        <v>75.599999999999994</v>
      </c>
      <c r="AI2" s="3">
        <v>63.3</v>
      </c>
      <c r="AJ2" s="3">
        <v>79.22</v>
      </c>
      <c r="AK2" s="3">
        <v>30.49</v>
      </c>
      <c r="AL2" s="4">
        <v>1.06</v>
      </c>
      <c r="AM2" s="4">
        <v>0.22159999999999999</v>
      </c>
    </row>
    <row r="3" spans="1:39">
      <c r="A3">
        <v>2</v>
      </c>
      <c r="B3">
        <v>7.52</v>
      </c>
      <c r="C3">
        <v>3.11</v>
      </c>
      <c r="D3">
        <v>3.51</v>
      </c>
      <c r="E3">
        <v>0.28000000000000003</v>
      </c>
      <c r="F3">
        <v>356</v>
      </c>
      <c r="G3" s="4">
        <v>0.88603988603988604</v>
      </c>
      <c r="H3" s="4">
        <v>7.9772079772079785E-2</v>
      </c>
      <c r="I3" s="4">
        <v>101.42450142450143</v>
      </c>
      <c r="J3" s="4">
        <v>315.43019943019942</v>
      </c>
      <c r="K3">
        <v>16</v>
      </c>
      <c r="L3" t="s">
        <v>28</v>
      </c>
      <c r="N3" s="3">
        <v>7.52</v>
      </c>
      <c r="O3" s="3">
        <v>3.11</v>
      </c>
      <c r="P3" s="3">
        <v>3.51</v>
      </c>
      <c r="Q3" s="3">
        <v>0.28000000000000003</v>
      </c>
      <c r="R3" s="3">
        <v>0.6</v>
      </c>
      <c r="S3" s="3">
        <v>0</v>
      </c>
      <c r="T3" s="3">
        <v>0.02</v>
      </c>
      <c r="U3" s="3">
        <v>11.48</v>
      </c>
      <c r="V3" s="3">
        <v>146</v>
      </c>
      <c r="W3" s="3">
        <v>0.5</v>
      </c>
      <c r="X3" s="3">
        <v>356</v>
      </c>
      <c r="Y3" s="3">
        <v>0.3</v>
      </c>
      <c r="Z3" s="3">
        <v>1.4E-2</v>
      </c>
      <c r="AA3" s="3"/>
      <c r="AB3" s="3"/>
      <c r="AC3" s="3"/>
      <c r="AD3" s="3"/>
      <c r="AE3" s="3"/>
      <c r="AF3" s="3">
        <v>14.17</v>
      </c>
      <c r="AG3" s="3">
        <v>119.83</v>
      </c>
      <c r="AH3" s="3"/>
      <c r="AI3" s="3"/>
      <c r="AJ3" s="3"/>
      <c r="AK3" s="3"/>
      <c r="AL3" s="4"/>
      <c r="AM3" s="4"/>
    </row>
    <row r="4" spans="1:39">
      <c r="A4">
        <v>3</v>
      </c>
      <c r="B4">
        <v>3.84</v>
      </c>
      <c r="C4">
        <v>1.47</v>
      </c>
      <c r="D4">
        <v>1.65</v>
      </c>
      <c r="E4">
        <v>0.11</v>
      </c>
      <c r="F4">
        <v>294</v>
      </c>
      <c r="G4" s="4">
        <v>0.89090909090909098</v>
      </c>
      <c r="H4" s="4">
        <v>6.6666666666666666E-2</v>
      </c>
      <c r="I4" s="4">
        <v>178.18181818181819</v>
      </c>
      <c r="J4" s="4">
        <v>261.92727272727274</v>
      </c>
      <c r="K4">
        <v>14</v>
      </c>
      <c r="L4" t="s">
        <v>30</v>
      </c>
      <c r="M4">
        <v>5.6</v>
      </c>
      <c r="N4" s="3">
        <v>3.84</v>
      </c>
      <c r="O4" s="3">
        <v>1.47</v>
      </c>
      <c r="P4" s="3">
        <v>1.65</v>
      </c>
      <c r="Q4" s="3">
        <v>0.11</v>
      </c>
      <c r="R4" s="3">
        <v>0.6</v>
      </c>
      <c r="S4" s="3">
        <v>0</v>
      </c>
      <c r="T4" s="3">
        <v>0.01</v>
      </c>
      <c r="U4" s="3">
        <v>9.15</v>
      </c>
      <c r="V4" s="3">
        <v>115</v>
      </c>
      <c r="W4" s="3">
        <v>0.38</v>
      </c>
      <c r="X4" s="3">
        <v>177</v>
      </c>
      <c r="Y4" s="3"/>
      <c r="Z4" s="3"/>
      <c r="AA4" s="3">
        <v>157.69999999999999</v>
      </c>
      <c r="AB4" s="3">
        <v>3.58</v>
      </c>
      <c r="AC4" s="3">
        <v>123.3</v>
      </c>
      <c r="AD4" s="3">
        <v>2.4300000000000002</v>
      </c>
      <c r="AE4" s="3">
        <v>1.48</v>
      </c>
      <c r="AF4" s="3">
        <v>8.33</v>
      </c>
      <c r="AG4" s="3">
        <v>134.1</v>
      </c>
      <c r="AH4" s="3">
        <v>24.1</v>
      </c>
      <c r="AI4" s="3">
        <v>34.5</v>
      </c>
      <c r="AJ4" s="3">
        <v>65.8</v>
      </c>
      <c r="AK4" s="3">
        <v>31.57</v>
      </c>
      <c r="AL4" s="4"/>
      <c r="AM4" s="4"/>
    </row>
    <row r="5" spans="1:39">
      <c r="A5">
        <v>4</v>
      </c>
      <c r="B5">
        <v>6.64</v>
      </c>
      <c r="C5">
        <v>3.84</v>
      </c>
      <c r="D5">
        <v>1.95</v>
      </c>
      <c r="E5">
        <v>0.15</v>
      </c>
      <c r="F5">
        <v>304</v>
      </c>
      <c r="G5" s="4">
        <v>1.9692307692307691</v>
      </c>
      <c r="H5" s="4">
        <v>7.6923076923076927E-2</v>
      </c>
      <c r="I5" s="4">
        <v>155.89743589743591</v>
      </c>
      <c r="J5" s="4">
        <v>598.64615384615377</v>
      </c>
      <c r="K5">
        <v>11</v>
      </c>
      <c r="L5" t="s">
        <v>31</v>
      </c>
      <c r="M5">
        <v>3.5</v>
      </c>
      <c r="N5" s="3">
        <v>6.64</v>
      </c>
      <c r="O5" s="3">
        <v>3.84</v>
      </c>
      <c r="P5" s="3">
        <v>1.95</v>
      </c>
      <c r="Q5" s="3">
        <v>0.15</v>
      </c>
      <c r="R5" s="3">
        <v>0.69</v>
      </c>
      <c r="S5" s="3">
        <v>0</v>
      </c>
      <c r="T5" s="3">
        <v>0</v>
      </c>
      <c r="U5" s="3">
        <v>9.17</v>
      </c>
      <c r="V5" s="3">
        <v>139</v>
      </c>
      <c r="W5" s="3">
        <v>0.45</v>
      </c>
      <c r="X5" s="3">
        <v>354</v>
      </c>
      <c r="Y5" s="3"/>
      <c r="Z5" s="3"/>
      <c r="AA5" s="3">
        <v>156.9</v>
      </c>
      <c r="AB5" s="3">
        <v>4.54</v>
      </c>
      <c r="AC5" s="3">
        <v>123</v>
      </c>
      <c r="AD5" s="3">
        <v>2.56</v>
      </c>
      <c r="AE5" s="3">
        <v>1.05</v>
      </c>
      <c r="AF5" s="3">
        <v>9.25</v>
      </c>
      <c r="AG5" s="3">
        <v>125.25</v>
      </c>
      <c r="AH5" s="3">
        <v>20.7</v>
      </c>
      <c r="AI5" s="3">
        <v>46.7</v>
      </c>
      <c r="AJ5" s="3">
        <v>80.84</v>
      </c>
      <c r="AK5" s="3">
        <v>32.83</v>
      </c>
      <c r="AL5" s="4">
        <v>1.07</v>
      </c>
      <c r="AM5" s="4">
        <v>6.6000000000000003E-2</v>
      </c>
    </row>
    <row r="6" spans="1:39">
      <c r="A6">
        <v>5</v>
      </c>
      <c r="B6">
        <v>5.59</v>
      </c>
      <c r="C6">
        <v>2.39</v>
      </c>
      <c r="D6">
        <v>2.78</v>
      </c>
      <c r="E6">
        <v>0.16</v>
      </c>
      <c r="F6">
        <v>230</v>
      </c>
      <c r="G6" s="4">
        <v>0.85971223021582743</v>
      </c>
      <c r="H6" s="4">
        <v>5.7553956834532377E-2</v>
      </c>
      <c r="I6" s="4">
        <v>82.733812949640296</v>
      </c>
      <c r="J6" s="4">
        <v>197.73381294964031</v>
      </c>
      <c r="K6">
        <v>11</v>
      </c>
      <c r="L6" t="s">
        <v>30</v>
      </c>
      <c r="M6">
        <v>3.96</v>
      </c>
      <c r="N6" s="3">
        <v>5.59</v>
      </c>
      <c r="O6" s="3">
        <v>2.39</v>
      </c>
      <c r="P6" s="3">
        <v>2.78</v>
      </c>
      <c r="Q6" s="3">
        <v>0.16</v>
      </c>
      <c r="R6" s="3">
        <v>0.24</v>
      </c>
      <c r="S6" s="3">
        <v>0</v>
      </c>
      <c r="T6" s="3">
        <v>0</v>
      </c>
      <c r="U6" s="3">
        <v>8.17</v>
      </c>
      <c r="V6" s="3">
        <v>122</v>
      </c>
      <c r="W6" s="3">
        <v>0.4</v>
      </c>
      <c r="X6" s="3">
        <v>230</v>
      </c>
      <c r="Y6" s="3">
        <v>0.6</v>
      </c>
      <c r="Z6" s="3"/>
      <c r="AA6" s="3">
        <v>157.80000000000001</v>
      </c>
      <c r="AB6" s="3">
        <v>4.04</v>
      </c>
      <c r="AC6" s="3">
        <v>121</v>
      </c>
      <c r="AD6" s="3">
        <v>2.69</v>
      </c>
      <c r="AE6" s="3">
        <v>1.19</v>
      </c>
      <c r="AF6" s="3">
        <v>9.35</v>
      </c>
      <c r="AG6" s="3">
        <v>135.30000000000001</v>
      </c>
      <c r="AH6" s="3">
        <v>9.4</v>
      </c>
      <c r="AI6" s="3">
        <v>43.6</v>
      </c>
      <c r="AJ6" s="3">
        <v>79.33</v>
      </c>
      <c r="AK6" s="3">
        <v>32.520000000000003</v>
      </c>
      <c r="AL6" s="4">
        <v>1.07</v>
      </c>
      <c r="AM6" s="4">
        <v>0.11</v>
      </c>
    </row>
    <row r="7" spans="1:39">
      <c r="A7">
        <v>6</v>
      </c>
      <c r="B7">
        <v>10.77</v>
      </c>
      <c r="C7">
        <v>4.72</v>
      </c>
      <c r="D7">
        <v>4.8600000000000003</v>
      </c>
      <c r="E7">
        <v>0.16</v>
      </c>
      <c r="F7">
        <v>55</v>
      </c>
      <c r="G7" s="4">
        <v>0.97119341563785999</v>
      </c>
      <c r="H7" s="4">
        <v>3.2921810699588473E-2</v>
      </c>
      <c r="I7" s="4">
        <v>11.316872427983538</v>
      </c>
      <c r="J7" s="4">
        <v>53.415637860082292</v>
      </c>
      <c r="K7">
        <v>11</v>
      </c>
      <c r="L7" t="s">
        <v>26</v>
      </c>
      <c r="N7" s="3">
        <v>10.77</v>
      </c>
      <c r="O7" s="3">
        <v>4.72</v>
      </c>
      <c r="P7" s="3">
        <v>4.8600000000000003</v>
      </c>
      <c r="Q7" s="3">
        <v>0.16</v>
      </c>
      <c r="R7" s="3">
        <v>1.02</v>
      </c>
      <c r="S7" s="3">
        <v>0</v>
      </c>
      <c r="T7" s="3">
        <v>0.01</v>
      </c>
      <c r="U7" s="3">
        <v>8.2100000000000009</v>
      </c>
      <c r="V7" s="3">
        <v>124</v>
      </c>
      <c r="W7" s="3">
        <v>0.41</v>
      </c>
      <c r="X7" s="3">
        <v>55</v>
      </c>
      <c r="Y7" s="3">
        <v>0.2</v>
      </c>
      <c r="Z7" s="3">
        <v>1.7000000000000001E-2</v>
      </c>
      <c r="AA7" s="3"/>
      <c r="AB7" s="3"/>
      <c r="AC7" s="3"/>
      <c r="AD7" s="3"/>
      <c r="AE7" s="3"/>
      <c r="AF7" s="3">
        <v>11.98</v>
      </c>
      <c r="AG7" s="3">
        <v>132</v>
      </c>
      <c r="AH7" s="3">
        <v>39.200000000000003</v>
      </c>
      <c r="AI7" s="3">
        <v>29.1</v>
      </c>
      <c r="AJ7" s="3"/>
      <c r="AK7" s="3"/>
      <c r="AL7" s="4"/>
      <c r="AM7" s="4"/>
    </row>
    <row r="8" spans="1:39">
      <c r="A8">
        <v>7</v>
      </c>
      <c r="B8">
        <v>7.07</v>
      </c>
      <c r="C8">
        <v>3.24</v>
      </c>
      <c r="D8">
        <v>3.36</v>
      </c>
      <c r="E8">
        <v>0.23</v>
      </c>
      <c r="F8">
        <v>285</v>
      </c>
      <c r="G8" s="4">
        <v>0.96428571428571441</v>
      </c>
      <c r="H8" s="4">
        <v>6.8452380952380959E-2</v>
      </c>
      <c r="I8" s="4">
        <v>84.821428571428569</v>
      </c>
      <c r="J8" s="4">
        <v>274.82142857142861</v>
      </c>
      <c r="K8">
        <v>10</v>
      </c>
      <c r="L8" t="s">
        <v>32</v>
      </c>
      <c r="M8">
        <v>4.9000000000000004</v>
      </c>
      <c r="N8" s="3">
        <v>7.07</v>
      </c>
      <c r="O8" s="3">
        <v>3.24</v>
      </c>
      <c r="P8" s="3">
        <v>3.36</v>
      </c>
      <c r="Q8" s="3">
        <v>0.23</v>
      </c>
      <c r="R8" s="3">
        <v>0.2</v>
      </c>
      <c r="S8" s="3">
        <v>0.03</v>
      </c>
      <c r="T8" s="3">
        <v>0</v>
      </c>
      <c r="U8" s="3">
        <v>7.05</v>
      </c>
      <c r="V8" s="3">
        <v>107</v>
      </c>
      <c r="W8" s="3">
        <v>0.33</v>
      </c>
      <c r="X8" s="3">
        <v>227</v>
      </c>
      <c r="Y8" s="3"/>
      <c r="Z8" s="3"/>
      <c r="AA8" s="3"/>
      <c r="AB8" s="3"/>
      <c r="AC8" s="3"/>
      <c r="AD8" s="3">
        <v>2.5</v>
      </c>
      <c r="AE8" s="3">
        <v>1.55</v>
      </c>
      <c r="AF8" s="3">
        <v>10.210000000000001</v>
      </c>
      <c r="AG8" s="3">
        <v>121.35</v>
      </c>
      <c r="AH8" s="3">
        <v>21</v>
      </c>
      <c r="AI8" s="3">
        <v>141.1</v>
      </c>
      <c r="AJ8" s="3">
        <v>76.099999999999994</v>
      </c>
      <c r="AK8" s="3">
        <v>35.49</v>
      </c>
      <c r="AL8" s="4"/>
      <c r="AM8" s="4"/>
    </row>
    <row r="9" spans="1:39">
      <c r="A9">
        <v>8</v>
      </c>
      <c r="B9">
        <v>8.7200000000000006</v>
      </c>
      <c r="C9">
        <v>5.29</v>
      </c>
      <c r="D9">
        <v>2.37</v>
      </c>
      <c r="E9">
        <v>0.43</v>
      </c>
      <c r="F9">
        <v>220</v>
      </c>
      <c r="G9" s="4">
        <v>2.2320675105485233</v>
      </c>
      <c r="H9" s="4">
        <v>0.18143459915611812</v>
      </c>
      <c r="I9" s="4">
        <v>92.827004219409275</v>
      </c>
      <c r="J9" s="4">
        <v>491.05485232067508</v>
      </c>
      <c r="K9">
        <v>10</v>
      </c>
      <c r="L9" t="s">
        <v>27</v>
      </c>
      <c r="M9">
        <v>6.96</v>
      </c>
      <c r="N9" s="3">
        <v>8.7200000000000006</v>
      </c>
      <c r="O9" s="3">
        <v>5.29</v>
      </c>
      <c r="P9" s="3">
        <v>2.37</v>
      </c>
      <c r="Q9" s="3">
        <v>0.43</v>
      </c>
      <c r="R9" s="3">
        <v>0.57999999999999996</v>
      </c>
      <c r="S9" s="3">
        <v>0.05</v>
      </c>
      <c r="T9" s="3">
        <v>0</v>
      </c>
      <c r="U9" s="3">
        <v>8.89</v>
      </c>
      <c r="V9" s="3">
        <v>119</v>
      </c>
      <c r="W9" s="3">
        <v>0.4</v>
      </c>
      <c r="X9" s="3">
        <v>345</v>
      </c>
      <c r="Y9" s="3"/>
      <c r="Z9" s="3"/>
      <c r="AA9" s="3"/>
      <c r="AB9" s="3"/>
      <c r="AC9" s="3"/>
      <c r="AD9" s="3">
        <v>2.4500000000000002</v>
      </c>
      <c r="AE9" s="3">
        <v>1.6</v>
      </c>
      <c r="AF9" s="3">
        <v>9.65</v>
      </c>
      <c r="AG9" s="3">
        <v>133.80000000000001</v>
      </c>
      <c r="AH9" s="3">
        <v>37.9</v>
      </c>
      <c r="AI9" s="3">
        <v>43</v>
      </c>
      <c r="AJ9" s="3">
        <v>72.400000000000006</v>
      </c>
      <c r="AK9" s="3">
        <v>33.909999999999997</v>
      </c>
      <c r="AL9" s="4">
        <v>1.034</v>
      </c>
      <c r="AM9" s="4">
        <v>0.13850000000000001</v>
      </c>
    </row>
    <row r="10" spans="1:39">
      <c r="A10">
        <v>9</v>
      </c>
      <c r="B10">
        <v>11.34</v>
      </c>
      <c r="C10">
        <v>9.65</v>
      </c>
      <c r="D10">
        <v>0.87</v>
      </c>
      <c r="E10">
        <v>0.36</v>
      </c>
      <c r="F10">
        <v>580</v>
      </c>
      <c r="G10" s="4">
        <v>11.091954022988507</v>
      </c>
      <c r="H10" s="4">
        <v>0.41379310344827586</v>
      </c>
      <c r="I10" s="4">
        <v>666.66666666666663</v>
      </c>
      <c r="J10" s="4">
        <v>6433.333333333333</v>
      </c>
      <c r="K10">
        <v>10</v>
      </c>
      <c r="L10" t="s">
        <v>26</v>
      </c>
      <c r="N10" s="3">
        <v>11.34</v>
      </c>
      <c r="O10" s="3">
        <v>9.65</v>
      </c>
      <c r="P10" s="3">
        <v>0.87</v>
      </c>
      <c r="Q10" s="3">
        <v>0.36</v>
      </c>
      <c r="R10" s="3">
        <v>0.42</v>
      </c>
      <c r="S10" s="3">
        <v>0</v>
      </c>
      <c r="T10" s="3">
        <v>0.05</v>
      </c>
      <c r="U10" s="3">
        <v>6.58</v>
      </c>
      <c r="V10" s="3">
        <v>99</v>
      </c>
      <c r="W10" s="3">
        <v>0.33</v>
      </c>
      <c r="X10" s="3">
        <v>580</v>
      </c>
      <c r="Y10" s="3">
        <v>0.4</v>
      </c>
      <c r="Z10" s="3">
        <v>2.9000000000000001E-2</v>
      </c>
      <c r="AA10" s="3"/>
      <c r="AB10" s="3"/>
      <c r="AC10" s="3"/>
      <c r="AD10" s="3">
        <v>2.2999999999999998</v>
      </c>
      <c r="AE10" s="3">
        <v>1.67</v>
      </c>
      <c r="AF10" s="3">
        <v>7.24</v>
      </c>
      <c r="AG10" s="3">
        <v>104.2</v>
      </c>
      <c r="AH10" s="3">
        <v>13.2</v>
      </c>
      <c r="AI10" s="3">
        <v>45.8</v>
      </c>
      <c r="AJ10" s="3">
        <v>83.55</v>
      </c>
      <c r="AK10" s="3">
        <v>35.11</v>
      </c>
      <c r="AL10" s="4"/>
      <c r="AM10" s="4"/>
    </row>
    <row r="11" spans="1:39">
      <c r="A11">
        <v>10</v>
      </c>
      <c r="B11">
        <v>5.17</v>
      </c>
      <c r="C11">
        <v>3.17</v>
      </c>
      <c r="D11">
        <v>1.56</v>
      </c>
      <c r="E11">
        <v>0.37</v>
      </c>
      <c r="F11">
        <v>233</v>
      </c>
      <c r="G11" s="4">
        <v>2.0320512820512819</v>
      </c>
      <c r="H11" s="4">
        <v>0.23717948717948717</v>
      </c>
      <c r="I11" s="4">
        <v>149.35897435897436</v>
      </c>
      <c r="J11" s="4">
        <v>473.46794871794873</v>
      </c>
      <c r="K11">
        <v>8</v>
      </c>
      <c r="L11" t="s">
        <v>32</v>
      </c>
      <c r="M11">
        <v>5.8</v>
      </c>
      <c r="N11" s="3">
        <v>5.17</v>
      </c>
      <c r="O11" s="3">
        <v>3.17</v>
      </c>
      <c r="P11" s="3">
        <v>1.56</v>
      </c>
      <c r="Q11" s="3">
        <v>0.37</v>
      </c>
      <c r="R11" s="3">
        <v>0.03</v>
      </c>
      <c r="S11" s="3">
        <v>0.02</v>
      </c>
      <c r="T11" s="3">
        <v>0.02</v>
      </c>
      <c r="U11" s="3">
        <v>9.36</v>
      </c>
      <c r="V11" s="3">
        <v>151</v>
      </c>
      <c r="W11" s="3">
        <v>0.48</v>
      </c>
      <c r="X11" s="3">
        <v>220</v>
      </c>
      <c r="Y11" s="3"/>
      <c r="Z11" s="3"/>
      <c r="AA11" s="3">
        <v>154.80000000000001</v>
      </c>
      <c r="AB11" s="3">
        <v>5.0199999999999996</v>
      </c>
      <c r="AC11" s="3">
        <v>122.8</v>
      </c>
      <c r="AD11" s="3">
        <v>2.31</v>
      </c>
      <c r="AE11" s="3">
        <v>1.72</v>
      </c>
      <c r="AF11" s="3">
        <v>6.4</v>
      </c>
      <c r="AG11" s="3">
        <v>120.59</v>
      </c>
      <c r="AH11" s="3">
        <v>24.2</v>
      </c>
      <c r="AI11" s="3">
        <v>55.8</v>
      </c>
      <c r="AJ11" s="3">
        <v>67.69</v>
      </c>
      <c r="AK11" s="3">
        <v>31.09</v>
      </c>
      <c r="AL11" s="4"/>
      <c r="AM11" s="4">
        <v>0.1154</v>
      </c>
    </row>
    <row r="12" spans="1:39">
      <c r="A12">
        <v>11</v>
      </c>
      <c r="B12">
        <v>17.420000000000002</v>
      </c>
      <c r="C12">
        <v>11.51</v>
      </c>
      <c r="D12">
        <v>4.62</v>
      </c>
      <c r="E12">
        <v>0.46</v>
      </c>
      <c r="F12">
        <v>401</v>
      </c>
      <c r="G12" s="4">
        <v>2.4913419913419914</v>
      </c>
      <c r="H12" s="4">
        <v>9.9567099567099568E-2</v>
      </c>
      <c r="I12" s="4">
        <v>86.796536796536799</v>
      </c>
      <c r="J12" s="4">
        <v>999.02813852813858</v>
      </c>
      <c r="K12">
        <v>7</v>
      </c>
      <c r="L12" t="s">
        <v>27</v>
      </c>
      <c r="M12">
        <v>2.8</v>
      </c>
      <c r="N12" s="3">
        <v>17.420000000000002</v>
      </c>
      <c r="O12" s="3">
        <v>11.51</v>
      </c>
      <c r="P12" s="3">
        <v>4.62</v>
      </c>
      <c r="Q12" s="3">
        <v>0.46</v>
      </c>
      <c r="R12" s="3">
        <v>0.78</v>
      </c>
      <c r="S12" s="3">
        <v>0.05</v>
      </c>
      <c r="T12" s="3">
        <v>0</v>
      </c>
      <c r="U12" s="3"/>
      <c r="V12" s="3"/>
      <c r="W12" s="3"/>
      <c r="X12" s="3"/>
      <c r="Y12" s="3"/>
      <c r="Z12" s="3"/>
      <c r="AA12" s="3">
        <v>158.1</v>
      </c>
      <c r="AB12" s="3">
        <v>5.33</v>
      </c>
      <c r="AC12" s="3">
        <v>124.1</v>
      </c>
      <c r="AD12" s="3">
        <v>2.2999999999999998</v>
      </c>
      <c r="AE12" s="3">
        <v>1.82</v>
      </c>
      <c r="AF12" s="3">
        <v>8.89</v>
      </c>
      <c r="AG12" s="3">
        <v>103.92</v>
      </c>
      <c r="AH12" s="3">
        <v>22.6</v>
      </c>
      <c r="AI12" s="3">
        <v>28.4</v>
      </c>
      <c r="AJ12" s="3">
        <v>93.4</v>
      </c>
      <c r="AK12" s="3">
        <v>26.49</v>
      </c>
      <c r="AL12" s="4"/>
      <c r="AM12" s="4"/>
    </row>
    <row r="13" spans="1:39">
      <c r="A13">
        <v>12</v>
      </c>
      <c r="B13">
        <v>6.66</v>
      </c>
      <c r="C13">
        <v>5.4</v>
      </c>
      <c r="D13">
        <v>0.79</v>
      </c>
      <c r="E13">
        <v>0.08</v>
      </c>
      <c r="F13">
        <v>345</v>
      </c>
      <c r="G13" s="4">
        <v>6.8354430379746836</v>
      </c>
      <c r="H13" s="4">
        <v>0.10126582278481013</v>
      </c>
      <c r="I13" s="4">
        <v>436.70886075949363</v>
      </c>
      <c r="J13" s="4">
        <v>2358.2278481012659</v>
      </c>
      <c r="K13">
        <v>7</v>
      </c>
      <c r="L13" t="s">
        <v>27</v>
      </c>
      <c r="M13">
        <v>3.8</v>
      </c>
      <c r="N13" s="3">
        <v>6.66</v>
      </c>
      <c r="O13" s="3">
        <v>5.4</v>
      </c>
      <c r="P13" s="3">
        <v>0.79</v>
      </c>
      <c r="Q13" s="3">
        <v>0.08</v>
      </c>
      <c r="R13" s="3">
        <v>0.36</v>
      </c>
      <c r="S13" s="3">
        <v>0.01</v>
      </c>
      <c r="T13" s="3">
        <v>0</v>
      </c>
      <c r="U13" s="3">
        <v>10.78</v>
      </c>
      <c r="V13" s="3">
        <v>137</v>
      </c>
      <c r="W13" s="3">
        <v>0.46</v>
      </c>
      <c r="X13" s="3">
        <v>208</v>
      </c>
      <c r="Y13" s="3"/>
      <c r="Z13" s="3"/>
      <c r="AA13" s="3">
        <v>142.30000000000001</v>
      </c>
      <c r="AB13" s="3">
        <v>4.08</v>
      </c>
      <c r="AC13" s="3">
        <v>118.8</v>
      </c>
      <c r="AD13" s="3">
        <v>2.33</v>
      </c>
      <c r="AE13" s="3">
        <v>1.06</v>
      </c>
      <c r="AF13" s="3">
        <v>7.1</v>
      </c>
      <c r="AG13" s="3">
        <v>129</v>
      </c>
      <c r="AH13" s="3">
        <v>16.600000000000001</v>
      </c>
      <c r="AI13" s="3">
        <v>86.9</v>
      </c>
      <c r="AJ13" s="3">
        <v>69.7</v>
      </c>
      <c r="AK13" s="3">
        <v>37</v>
      </c>
      <c r="AL13" s="4">
        <v>1.07</v>
      </c>
      <c r="AM13" s="4">
        <v>0.14599999999999999</v>
      </c>
    </row>
    <row r="14" spans="1:39">
      <c r="A14">
        <v>13</v>
      </c>
      <c r="B14">
        <v>4.51</v>
      </c>
      <c r="C14">
        <v>2.8</v>
      </c>
      <c r="D14">
        <v>1.44</v>
      </c>
      <c r="E14">
        <v>0.1</v>
      </c>
      <c r="F14">
        <v>341</v>
      </c>
      <c r="G14" s="4">
        <v>1.9444444444444444</v>
      </c>
      <c r="H14" s="4">
        <v>6.9444444444444448E-2</v>
      </c>
      <c r="I14" s="4">
        <v>236.80555555555557</v>
      </c>
      <c r="J14" s="4">
        <v>663.05555555555554</v>
      </c>
      <c r="K14">
        <v>7</v>
      </c>
      <c r="L14" t="s">
        <v>28</v>
      </c>
      <c r="N14" s="3">
        <v>4.51</v>
      </c>
      <c r="O14" s="3">
        <v>2.8</v>
      </c>
      <c r="P14" s="3">
        <v>1.44</v>
      </c>
      <c r="Q14" s="3">
        <v>0.1</v>
      </c>
      <c r="R14" s="3">
        <v>0.15</v>
      </c>
      <c r="S14" s="3">
        <v>0</v>
      </c>
      <c r="T14" s="3">
        <v>0.01</v>
      </c>
      <c r="U14" s="3">
        <v>5.8</v>
      </c>
      <c r="V14" s="3">
        <v>91</v>
      </c>
      <c r="W14" s="3">
        <v>0.28000000000000003</v>
      </c>
      <c r="X14" s="3">
        <v>341</v>
      </c>
      <c r="Y14" s="3">
        <v>0.1</v>
      </c>
      <c r="Z14" s="3">
        <v>6.0000000000000001E-3</v>
      </c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4"/>
      <c r="AM14" s="4"/>
    </row>
    <row r="15" spans="1:39">
      <c r="A15">
        <v>14</v>
      </c>
      <c r="B15">
        <v>8.2200000000000006</v>
      </c>
      <c r="C15">
        <v>3.89</v>
      </c>
      <c r="D15">
        <v>3.41</v>
      </c>
      <c r="E15">
        <v>0.34</v>
      </c>
      <c r="F15">
        <v>226</v>
      </c>
      <c r="G15" s="4">
        <v>1.1407624633431086</v>
      </c>
      <c r="H15" s="4">
        <v>9.9706744868035199E-2</v>
      </c>
      <c r="I15" s="4">
        <v>66.275659824046912</v>
      </c>
      <c r="J15" s="4">
        <v>257.81231671554252</v>
      </c>
      <c r="K15">
        <v>7</v>
      </c>
      <c r="L15" t="s">
        <v>26</v>
      </c>
      <c r="N15" s="3">
        <v>8.2200000000000006</v>
      </c>
      <c r="O15" s="3">
        <v>3.89</v>
      </c>
      <c r="P15" s="3">
        <v>3.41</v>
      </c>
      <c r="Q15" s="3">
        <v>0.34</v>
      </c>
      <c r="R15" s="3">
        <v>0.51</v>
      </c>
      <c r="S15" s="3">
        <v>0.05</v>
      </c>
      <c r="T15" s="3">
        <v>0.01</v>
      </c>
      <c r="U15" s="3">
        <v>9.1999999999999993</v>
      </c>
      <c r="V15" s="3">
        <v>135</v>
      </c>
      <c r="W15" s="3">
        <v>0.47</v>
      </c>
      <c r="X15" s="3">
        <v>226</v>
      </c>
      <c r="Y15" s="3">
        <v>0.2</v>
      </c>
      <c r="Z15" s="3">
        <v>6.0000000000000001E-3</v>
      </c>
      <c r="AA15" s="3"/>
      <c r="AB15" s="3"/>
      <c r="AC15" s="3"/>
      <c r="AD15" s="3"/>
      <c r="AE15" s="3"/>
      <c r="AF15" s="3">
        <v>10.5</v>
      </c>
      <c r="AG15" s="3">
        <v>131.54</v>
      </c>
      <c r="AH15" s="3"/>
      <c r="AI15" s="3"/>
      <c r="AJ15" s="3"/>
      <c r="AK15" s="3"/>
      <c r="AL15" s="4"/>
      <c r="AM15" s="4"/>
    </row>
    <row r="16" spans="1:39">
      <c r="A16">
        <v>15</v>
      </c>
      <c r="B16">
        <v>9.16</v>
      </c>
      <c r="C16">
        <v>5.0599999999999996</v>
      </c>
      <c r="D16">
        <v>3</v>
      </c>
      <c r="E16">
        <v>0.38</v>
      </c>
      <c r="F16">
        <v>165</v>
      </c>
      <c r="G16" s="4">
        <v>1.6866666666666665</v>
      </c>
      <c r="H16" s="4">
        <v>0.12666666666666668</v>
      </c>
      <c r="I16" s="4">
        <v>55</v>
      </c>
      <c r="J16" s="4">
        <v>278.3</v>
      </c>
      <c r="K16">
        <v>7</v>
      </c>
      <c r="L16" t="s">
        <v>26</v>
      </c>
      <c r="N16" s="3">
        <v>9.16</v>
      </c>
      <c r="O16" s="3">
        <v>5.0599999999999996</v>
      </c>
      <c r="P16" s="3">
        <v>3</v>
      </c>
      <c r="Q16" s="3">
        <v>0.38</v>
      </c>
      <c r="R16" s="3">
        <v>0.63</v>
      </c>
      <c r="S16" s="3">
        <v>7.0000000000000007E-2</v>
      </c>
      <c r="T16" s="3">
        <v>0.02</v>
      </c>
      <c r="U16" s="3">
        <v>8.24</v>
      </c>
      <c r="V16" s="3">
        <v>121</v>
      </c>
      <c r="W16" s="3">
        <v>0.4</v>
      </c>
      <c r="X16" s="3">
        <v>165</v>
      </c>
      <c r="Y16" s="3">
        <v>0.1</v>
      </c>
      <c r="Z16" s="3">
        <v>1.0999999999999999E-2</v>
      </c>
      <c r="AA16" s="3"/>
      <c r="AB16" s="3"/>
      <c r="AC16" s="3"/>
      <c r="AD16" s="3"/>
      <c r="AE16" s="3"/>
      <c r="AF16" s="3">
        <v>12.62</v>
      </c>
      <c r="AG16" s="3">
        <v>142.1</v>
      </c>
      <c r="AH16" s="3"/>
      <c r="AI16" s="3"/>
      <c r="AJ16" s="3"/>
      <c r="AK16" s="3"/>
      <c r="AL16" s="4"/>
      <c r="AM16" s="4"/>
    </row>
    <row r="17" spans="1:39">
      <c r="A17">
        <v>16</v>
      </c>
      <c r="B17">
        <v>6.6</v>
      </c>
      <c r="C17">
        <v>2.63</v>
      </c>
      <c r="D17">
        <v>3</v>
      </c>
      <c r="E17">
        <v>0.22</v>
      </c>
      <c r="F17">
        <v>75</v>
      </c>
      <c r="G17" s="4">
        <v>0.87666666666666659</v>
      </c>
      <c r="H17" s="4">
        <v>7.3333333333333334E-2</v>
      </c>
      <c r="I17" s="4">
        <v>25</v>
      </c>
      <c r="J17" s="4">
        <v>65.75</v>
      </c>
      <c r="K17">
        <v>7</v>
      </c>
      <c r="L17" t="s">
        <v>28</v>
      </c>
      <c r="N17" s="3">
        <v>6.6</v>
      </c>
      <c r="O17" s="3">
        <v>2.63</v>
      </c>
      <c r="P17" s="3">
        <v>3</v>
      </c>
      <c r="Q17" s="3">
        <v>0.22</v>
      </c>
      <c r="R17" s="3">
        <v>0.74</v>
      </c>
      <c r="S17" s="3">
        <v>0</v>
      </c>
      <c r="T17" s="3">
        <v>0</v>
      </c>
      <c r="U17" s="3">
        <v>7.86</v>
      </c>
      <c r="V17" s="3">
        <v>123</v>
      </c>
      <c r="W17" s="3">
        <v>0.39</v>
      </c>
      <c r="X17" s="3">
        <v>75</v>
      </c>
      <c r="Y17" s="3">
        <v>0</v>
      </c>
      <c r="Z17" s="3">
        <v>8.0000000000000002E-3</v>
      </c>
      <c r="AA17" s="3"/>
      <c r="AB17" s="3"/>
      <c r="AC17" s="3"/>
      <c r="AD17" s="3">
        <v>2.27</v>
      </c>
      <c r="AE17" s="3">
        <v>1.89</v>
      </c>
      <c r="AF17" s="3">
        <v>8.65</v>
      </c>
      <c r="AG17" s="3">
        <v>112.6</v>
      </c>
      <c r="AH17" s="3">
        <v>21.4</v>
      </c>
      <c r="AI17" s="3">
        <v>53.8</v>
      </c>
      <c r="AJ17" s="3">
        <v>67.3</v>
      </c>
      <c r="AK17" s="3">
        <v>31.03</v>
      </c>
      <c r="AL17" s="4"/>
      <c r="AM17" s="4"/>
    </row>
    <row r="18" spans="1:39">
      <c r="A18">
        <v>17</v>
      </c>
      <c r="B18">
        <v>5.01</v>
      </c>
      <c r="C18">
        <v>2.38</v>
      </c>
      <c r="D18">
        <v>2.23</v>
      </c>
      <c r="E18">
        <v>0.11</v>
      </c>
      <c r="F18">
        <v>338</v>
      </c>
      <c r="G18" s="4">
        <v>1.0672645739910314</v>
      </c>
      <c r="H18" s="4">
        <v>4.932735426008969E-2</v>
      </c>
      <c r="I18" s="4">
        <v>151.5695067264574</v>
      </c>
      <c r="J18" s="4">
        <v>360.7354260089686</v>
      </c>
      <c r="K18">
        <v>6</v>
      </c>
      <c r="L18" t="s">
        <v>32</v>
      </c>
      <c r="M18">
        <v>5.4</v>
      </c>
      <c r="N18" s="3">
        <v>5.01</v>
      </c>
      <c r="O18" s="3">
        <v>2.38</v>
      </c>
      <c r="P18" s="3">
        <v>2.23</v>
      </c>
      <c r="Q18" s="3">
        <v>0.11</v>
      </c>
      <c r="R18" s="3">
        <v>0.28000000000000003</v>
      </c>
      <c r="S18" s="3">
        <v>0.01</v>
      </c>
      <c r="T18" s="3">
        <v>0</v>
      </c>
      <c r="U18" s="3">
        <v>7.22</v>
      </c>
      <c r="V18" s="3">
        <v>111</v>
      </c>
      <c r="W18" s="3">
        <v>0.35</v>
      </c>
      <c r="X18" s="3">
        <v>401</v>
      </c>
      <c r="Y18" s="3"/>
      <c r="Z18" s="3"/>
      <c r="AA18" s="3">
        <v>156.9</v>
      </c>
      <c r="AB18" s="3">
        <v>4.4400000000000004</v>
      </c>
      <c r="AC18" s="3">
        <v>121.8</v>
      </c>
      <c r="AD18" s="3">
        <v>2.41</v>
      </c>
      <c r="AE18" s="3">
        <v>1.18</v>
      </c>
      <c r="AF18" s="3">
        <v>7.88</v>
      </c>
      <c r="AG18" s="3">
        <v>134.77000000000001</v>
      </c>
      <c r="AH18" s="3"/>
      <c r="AI18" s="3">
        <v>53.1</v>
      </c>
      <c r="AJ18" s="3">
        <v>84</v>
      </c>
      <c r="AK18" s="3">
        <v>35.229999999999997</v>
      </c>
      <c r="AL18" s="4"/>
      <c r="AM18" s="4"/>
    </row>
    <row r="19" spans="1:39">
      <c r="A19">
        <v>18</v>
      </c>
      <c r="B19">
        <v>7.39</v>
      </c>
      <c r="C19">
        <v>4.26</v>
      </c>
      <c r="D19">
        <v>2.4</v>
      </c>
      <c r="E19">
        <v>0.39</v>
      </c>
      <c r="F19">
        <v>147</v>
      </c>
      <c r="G19" s="4">
        <v>1.7749999999999999</v>
      </c>
      <c r="H19" s="4">
        <v>0.16250000000000001</v>
      </c>
      <c r="I19" s="4">
        <v>61.25</v>
      </c>
      <c r="J19" s="4">
        <v>260.92499999999995</v>
      </c>
      <c r="K19">
        <v>6</v>
      </c>
      <c r="L19" t="s">
        <v>27</v>
      </c>
      <c r="M19">
        <v>5</v>
      </c>
      <c r="N19" s="3">
        <v>7.39</v>
      </c>
      <c r="O19" s="3">
        <v>4.26</v>
      </c>
      <c r="P19" s="3">
        <v>2.4</v>
      </c>
      <c r="Q19" s="3">
        <v>0.39</v>
      </c>
      <c r="R19" s="3">
        <v>0.32</v>
      </c>
      <c r="S19" s="3">
        <v>0.01</v>
      </c>
      <c r="T19" s="3">
        <v>0</v>
      </c>
      <c r="U19" s="3">
        <v>9.58</v>
      </c>
      <c r="V19" s="3">
        <v>132</v>
      </c>
      <c r="W19" s="3">
        <v>0.43</v>
      </c>
      <c r="X19" s="3">
        <v>304</v>
      </c>
      <c r="Y19" s="3">
        <v>0.2</v>
      </c>
      <c r="Z19" s="3"/>
      <c r="AA19" s="3">
        <v>151.6</v>
      </c>
      <c r="AB19" s="3">
        <v>3.74</v>
      </c>
      <c r="AC19" s="3">
        <v>119.1</v>
      </c>
      <c r="AD19" s="3">
        <v>2.46</v>
      </c>
      <c r="AE19" s="3">
        <v>1.72</v>
      </c>
      <c r="AF19" s="3">
        <v>10.3</v>
      </c>
      <c r="AG19" s="3">
        <v>103.93</v>
      </c>
      <c r="AH19" s="3">
        <v>23.3</v>
      </c>
      <c r="AI19" s="3">
        <v>64.2</v>
      </c>
      <c r="AJ19" s="3">
        <v>71.98</v>
      </c>
      <c r="AK19" s="3">
        <v>29.16</v>
      </c>
      <c r="AL19" s="4">
        <v>1.06</v>
      </c>
      <c r="AM19" s="4">
        <v>6.9800000000000001E-2</v>
      </c>
    </row>
    <row r="20" spans="1:39">
      <c r="A20">
        <v>19</v>
      </c>
      <c r="B20">
        <v>3.25</v>
      </c>
      <c r="C20">
        <v>1.87</v>
      </c>
      <c r="D20">
        <v>1.2</v>
      </c>
      <c r="E20">
        <v>0.13</v>
      </c>
      <c r="F20">
        <v>278</v>
      </c>
      <c r="G20" s="4">
        <v>1.5583333333333336</v>
      </c>
      <c r="H20" s="4">
        <v>0.10833333333333334</v>
      </c>
      <c r="I20" s="4">
        <v>231.66666666666669</v>
      </c>
      <c r="J20" s="4">
        <v>433.2166666666667</v>
      </c>
      <c r="K20">
        <v>6</v>
      </c>
      <c r="L20" t="s">
        <v>26</v>
      </c>
      <c r="N20" s="3">
        <v>3.25</v>
      </c>
      <c r="O20" s="3">
        <v>1.87</v>
      </c>
      <c r="P20" s="3">
        <v>1.2</v>
      </c>
      <c r="Q20" s="3">
        <v>0.13</v>
      </c>
      <c r="R20" s="3">
        <v>0.03</v>
      </c>
      <c r="S20" s="3">
        <v>0.01</v>
      </c>
      <c r="T20" s="3">
        <v>0.02</v>
      </c>
      <c r="U20" s="3">
        <v>9.94</v>
      </c>
      <c r="V20" s="3">
        <v>138</v>
      </c>
      <c r="W20" s="3">
        <v>0.45</v>
      </c>
      <c r="X20" s="3">
        <v>278</v>
      </c>
      <c r="Y20" s="3">
        <v>0.3</v>
      </c>
      <c r="Z20" s="3">
        <v>3.1E-2</v>
      </c>
      <c r="AA20" s="3"/>
      <c r="AB20" s="3"/>
      <c r="AC20" s="3"/>
      <c r="AD20" s="3"/>
      <c r="AE20" s="3"/>
      <c r="AF20" s="3">
        <v>8.1</v>
      </c>
      <c r="AG20" s="3">
        <v>139.63999999999999</v>
      </c>
      <c r="AH20" s="3"/>
      <c r="AI20" s="3"/>
      <c r="AJ20" s="3"/>
      <c r="AK20" s="3"/>
      <c r="AL20" s="4"/>
      <c r="AM20" s="4"/>
    </row>
    <row r="21" spans="1:39">
      <c r="A21">
        <v>20</v>
      </c>
      <c r="B21">
        <v>6.43</v>
      </c>
      <c r="C21">
        <v>4.46</v>
      </c>
      <c r="D21">
        <v>1.82</v>
      </c>
      <c r="E21">
        <v>0.08</v>
      </c>
      <c r="F21">
        <v>175</v>
      </c>
      <c r="G21" s="4">
        <v>2.4505494505494503</v>
      </c>
      <c r="H21" s="4">
        <v>4.3956043956043953E-2</v>
      </c>
      <c r="I21" s="4">
        <v>96.153846153846146</v>
      </c>
      <c r="J21" s="4">
        <v>428.84615384615381</v>
      </c>
      <c r="K21">
        <v>6</v>
      </c>
      <c r="L21" t="s">
        <v>28</v>
      </c>
      <c r="N21" s="3">
        <v>6.43</v>
      </c>
      <c r="O21" s="3">
        <v>4.46</v>
      </c>
      <c r="P21" s="3">
        <v>1.82</v>
      </c>
      <c r="Q21" s="3">
        <v>0.08</v>
      </c>
      <c r="R21" s="3">
        <v>0.06</v>
      </c>
      <c r="S21" s="3">
        <v>0</v>
      </c>
      <c r="T21" s="3">
        <v>0.01</v>
      </c>
      <c r="U21" s="3">
        <v>10.96</v>
      </c>
      <c r="V21" s="3">
        <v>146</v>
      </c>
      <c r="W21" s="3">
        <v>0.47</v>
      </c>
      <c r="X21" s="3">
        <v>175</v>
      </c>
      <c r="Y21" s="3">
        <v>1</v>
      </c>
      <c r="Z21" s="3">
        <v>0.114</v>
      </c>
      <c r="AA21" s="3"/>
      <c r="AB21" s="3"/>
      <c r="AC21" s="3"/>
      <c r="AD21" s="3"/>
      <c r="AE21" s="3"/>
      <c r="AF21" s="3">
        <v>10.41</v>
      </c>
      <c r="AG21" s="3">
        <v>143.11000000000001</v>
      </c>
      <c r="AH21" s="3"/>
      <c r="AI21" s="3"/>
      <c r="AJ21" s="3"/>
      <c r="AK21" s="3"/>
      <c r="AL21" s="4"/>
      <c r="AM21" s="4"/>
    </row>
    <row r="22" spans="1:39">
      <c r="A22">
        <v>21</v>
      </c>
      <c r="B22">
        <v>8.98</v>
      </c>
      <c r="C22">
        <v>5.32</v>
      </c>
      <c r="D22">
        <v>3.09</v>
      </c>
      <c r="E22">
        <v>0.22</v>
      </c>
      <c r="F22">
        <v>418</v>
      </c>
      <c r="G22" s="4">
        <v>1.7216828478964403</v>
      </c>
      <c r="H22" s="4">
        <v>7.1197411003236247E-2</v>
      </c>
      <c r="I22" s="4">
        <v>135.27508090614887</v>
      </c>
      <c r="J22" s="4">
        <v>719.66343042071207</v>
      </c>
      <c r="K22">
        <v>6</v>
      </c>
      <c r="L22" t="s">
        <v>26</v>
      </c>
      <c r="N22" s="3">
        <v>8.98</v>
      </c>
      <c r="O22" s="3">
        <v>5.32</v>
      </c>
      <c r="P22" s="3">
        <v>3.09</v>
      </c>
      <c r="Q22" s="3">
        <v>0.22</v>
      </c>
      <c r="R22" s="3">
        <v>0.33</v>
      </c>
      <c r="S22" s="3">
        <v>0</v>
      </c>
      <c r="T22" s="3">
        <v>0.02</v>
      </c>
      <c r="U22" s="3">
        <v>7.27</v>
      </c>
      <c r="V22" s="3">
        <v>99</v>
      </c>
      <c r="W22" s="3">
        <v>0.32</v>
      </c>
      <c r="X22" s="3">
        <v>418</v>
      </c>
      <c r="Y22" s="3">
        <v>0.1</v>
      </c>
      <c r="Z22" s="3">
        <v>2.5000000000000001E-2</v>
      </c>
      <c r="AA22" s="3"/>
      <c r="AB22" s="3"/>
      <c r="AC22" s="3"/>
      <c r="AD22" s="3"/>
      <c r="AE22" s="3"/>
      <c r="AF22" s="3">
        <v>10.55</v>
      </c>
      <c r="AG22" s="3">
        <v>140.1</v>
      </c>
      <c r="AH22" s="3"/>
      <c r="AI22" s="3"/>
      <c r="AJ22" s="3"/>
      <c r="AK22" s="3"/>
      <c r="AL22" s="4"/>
      <c r="AM22" s="4"/>
    </row>
    <row r="23" spans="1:39">
      <c r="A23">
        <v>22</v>
      </c>
      <c r="B23">
        <v>7.2</v>
      </c>
      <c r="C23">
        <v>5.01</v>
      </c>
      <c r="D23">
        <v>1.51</v>
      </c>
      <c r="E23">
        <v>0.23</v>
      </c>
      <c r="F23">
        <v>375</v>
      </c>
      <c r="G23" s="4">
        <v>3.3178807947019866</v>
      </c>
      <c r="H23" s="4">
        <v>0.15231788079470199</v>
      </c>
      <c r="I23" s="4">
        <v>248.34437086092714</v>
      </c>
      <c r="J23" s="4">
        <v>1244.2052980132451</v>
      </c>
      <c r="K23">
        <v>5</v>
      </c>
      <c r="L23" t="s">
        <v>32</v>
      </c>
      <c r="M23">
        <v>4.2</v>
      </c>
      <c r="N23" s="3">
        <v>7.2</v>
      </c>
      <c r="O23" s="3">
        <v>5.01</v>
      </c>
      <c r="P23" s="3">
        <v>1.51</v>
      </c>
      <c r="Q23" s="3">
        <v>0.23</v>
      </c>
      <c r="R23" s="3">
        <v>0.43</v>
      </c>
      <c r="S23" s="3">
        <v>0.01</v>
      </c>
      <c r="T23" s="3">
        <v>0</v>
      </c>
      <c r="U23" s="3">
        <v>9.07</v>
      </c>
      <c r="V23" s="3">
        <v>127</v>
      </c>
      <c r="W23" s="3">
        <v>0.41</v>
      </c>
      <c r="X23" s="3">
        <v>338</v>
      </c>
      <c r="Y23" s="3"/>
      <c r="Z23" s="3"/>
      <c r="AA23" s="3">
        <v>154.5</v>
      </c>
      <c r="AB23" s="3">
        <v>4.49</v>
      </c>
      <c r="AC23" s="3">
        <v>120.9</v>
      </c>
      <c r="AD23" s="3">
        <v>2.29</v>
      </c>
      <c r="AE23" s="3">
        <v>1.29</v>
      </c>
      <c r="AF23" s="3">
        <v>11.38</v>
      </c>
      <c r="AG23" s="3">
        <v>140</v>
      </c>
      <c r="AH23" s="3">
        <v>20.2</v>
      </c>
      <c r="AI23" s="3">
        <v>61.6</v>
      </c>
      <c r="AJ23" s="3">
        <v>74.599999999999994</v>
      </c>
      <c r="AK23" s="3">
        <v>32.74</v>
      </c>
      <c r="AL23" s="4"/>
      <c r="AM23" s="4"/>
    </row>
    <row r="24" spans="1:39">
      <c r="A24">
        <v>23</v>
      </c>
      <c r="B24">
        <v>9.2200000000000006</v>
      </c>
      <c r="C24">
        <v>5.03</v>
      </c>
      <c r="D24">
        <v>2.66</v>
      </c>
      <c r="E24">
        <v>0.15</v>
      </c>
      <c r="F24">
        <v>296</v>
      </c>
      <c r="G24" s="4">
        <v>1.8909774436090225</v>
      </c>
      <c r="H24" s="4">
        <v>5.6390977443609019E-2</v>
      </c>
      <c r="I24" s="4">
        <v>111.27819548872179</v>
      </c>
      <c r="J24" s="4">
        <v>559.72932330827064</v>
      </c>
      <c r="K24">
        <v>5</v>
      </c>
      <c r="L24" t="s">
        <v>26</v>
      </c>
      <c r="N24" s="3">
        <v>9.2200000000000006</v>
      </c>
      <c r="O24" s="3">
        <v>5.03</v>
      </c>
      <c r="P24" s="3">
        <v>2.66</v>
      </c>
      <c r="Q24" s="3">
        <v>0.15</v>
      </c>
      <c r="R24" s="3">
        <v>1.35</v>
      </c>
      <c r="S24" s="3">
        <v>0.01</v>
      </c>
      <c r="T24" s="3">
        <v>0.02</v>
      </c>
      <c r="U24" s="3">
        <v>7.18</v>
      </c>
      <c r="V24" s="3">
        <v>104</v>
      </c>
      <c r="W24" s="3">
        <v>0.35</v>
      </c>
      <c r="X24" s="3">
        <v>296</v>
      </c>
      <c r="Y24" s="3">
        <v>0.2</v>
      </c>
      <c r="Z24" s="3">
        <v>1.7999999999999999E-2</v>
      </c>
      <c r="AA24" s="3"/>
      <c r="AB24" s="3"/>
      <c r="AC24" s="3"/>
      <c r="AD24" s="3"/>
      <c r="AE24" s="3"/>
      <c r="AF24" s="3">
        <v>11.84</v>
      </c>
      <c r="AG24" s="3">
        <v>135.1</v>
      </c>
      <c r="AH24" s="3"/>
      <c r="AI24" s="3"/>
      <c r="AJ24" s="3"/>
      <c r="AK24" s="3"/>
      <c r="AL24" s="4"/>
      <c r="AM24" s="4"/>
    </row>
    <row r="25" spans="1:39">
      <c r="A25">
        <v>24</v>
      </c>
      <c r="B25">
        <v>6.51</v>
      </c>
      <c r="C25">
        <v>3.84</v>
      </c>
      <c r="D25">
        <v>2.17</v>
      </c>
      <c r="E25">
        <v>0.24</v>
      </c>
      <c r="F25">
        <v>367</v>
      </c>
      <c r="G25" s="4">
        <v>1.7695852534562211</v>
      </c>
      <c r="H25" s="4">
        <v>0.11059907834101382</v>
      </c>
      <c r="I25" s="4">
        <v>169.12442396313364</v>
      </c>
      <c r="J25" s="4">
        <v>649.43778801843314</v>
      </c>
      <c r="K25">
        <v>5</v>
      </c>
      <c r="L25" t="s">
        <v>26</v>
      </c>
      <c r="N25" s="3">
        <v>6.51</v>
      </c>
      <c r="O25" s="3">
        <v>3.84</v>
      </c>
      <c r="P25" s="3">
        <v>2.17</v>
      </c>
      <c r="Q25" s="3">
        <v>0.24</v>
      </c>
      <c r="R25" s="3">
        <v>0.17</v>
      </c>
      <c r="S25" s="3">
        <v>0.01</v>
      </c>
      <c r="T25" s="3">
        <v>0.08</v>
      </c>
      <c r="U25" s="3">
        <v>4.47</v>
      </c>
      <c r="V25" s="3">
        <v>106</v>
      </c>
      <c r="W25" s="3">
        <v>0.32</v>
      </c>
      <c r="X25" s="3">
        <v>367</v>
      </c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4"/>
      <c r="AM25" s="4"/>
    </row>
    <row r="26" spans="1:39">
      <c r="A26">
        <v>25</v>
      </c>
      <c r="B26">
        <v>10.68</v>
      </c>
      <c r="C26">
        <v>7.52</v>
      </c>
      <c r="D26">
        <v>2.4</v>
      </c>
      <c r="E26">
        <v>0.32</v>
      </c>
      <c r="F26">
        <v>364</v>
      </c>
      <c r="G26" s="4">
        <v>3.1333333333333333</v>
      </c>
      <c r="H26" s="4">
        <v>0.13333333333333333</v>
      </c>
      <c r="I26" s="4">
        <v>151.66666666666669</v>
      </c>
      <c r="J26" s="4">
        <v>1140.5333333333333</v>
      </c>
      <c r="K26">
        <v>4.5</v>
      </c>
      <c r="L26" t="s">
        <v>32</v>
      </c>
      <c r="M26">
        <v>4.2</v>
      </c>
      <c r="N26" s="3">
        <v>10.68</v>
      </c>
      <c r="O26" s="3">
        <v>7.52</v>
      </c>
      <c r="P26" s="3">
        <v>2.4</v>
      </c>
      <c r="Q26" s="3">
        <v>0.32</v>
      </c>
      <c r="R26" s="3">
        <v>0.43</v>
      </c>
      <c r="S26" s="3">
        <v>0.01</v>
      </c>
      <c r="T26" s="3">
        <v>0</v>
      </c>
      <c r="U26" s="3">
        <v>8.7899999999999991</v>
      </c>
      <c r="V26" s="3">
        <v>135</v>
      </c>
      <c r="W26" s="3">
        <v>0.39</v>
      </c>
      <c r="X26" s="3">
        <v>232</v>
      </c>
      <c r="Y26" s="3"/>
      <c r="Z26" s="3"/>
      <c r="AA26" s="3"/>
      <c r="AB26" s="3"/>
      <c r="AC26" s="3"/>
      <c r="AD26" s="3">
        <v>2.77</v>
      </c>
      <c r="AE26" s="3">
        <v>1.34</v>
      </c>
      <c r="AF26" s="3">
        <v>11.22</v>
      </c>
      <c r="AG26" s="3">
        <v>134.69999999999999</v>
      </c>
      <c r="AH26" s="3">
        <v>13.7</v>
      </c>
      <c r="AI26" s="3">
        <v>83</v>
      </c>
      <c r="AJ26" s="3">
        <v>73.61</v>
      </c>
      <c r="AK26" s="3">
        <v>28.9</v>
      </c>
      <c r="AL26" s="4">
        <v>10.8</v>
      </c>
      <c r="AM26" s="4">
        <v>0.17399999999999999</v>
      </c>
    </row>
    <row r="27" spans="1:39">
      <c r="A27">
        <v>26</v>
      </c>
      <c r="B27">
        <v>6.73</v>
      </c>
      <c r="C27">
        <v>3.7</v>
      </c>
      <c r="D27">
        <v>2.4300000000000002</v>
      </c>
      <c r="E27">
        <v>0.28999999999999998</v>
      </c>
      <c r="F27">
        <v>199</v>
      </c>
      <c r="G27" s="4">
        <v>1.522633744855967</v>
      </c>
      <c r="H27" s="4">
        <v>0.11934156378600821</v>
      </c>
      <c r="I27" s="4">
        <v>81.893004115226333</v>
      </c>
      <c r="J27" s="4">
        <v>303.00411522633743</v>
      </c>
      <c r="K27">
        <v>4.5</v>
      </c>
      <c r="L27" t="s">
        <v>27</v>
      </c>
      <c r="M27">
        <v>3.75</v>
      </c>
      <c r="N27" s="3">
        <v>6.73</v>
      </c>
      <c r="O27" s="3">
        <v>3.7</v>
      </c>
      <c r="P27" s="3">
        <v>2.4300000000000002</v>
      </c>
      <c r="Q27" s="3">
        <v>0.28999999999999998</v>
      </c>
      <c r="R27" s="3">
        <v>0.28999999999999998</v>
      </c>
      <c r="S27" s="3">
        <v>0.03</v>
      </c>
      <c r="T27" s="3">
        <v>0</v>
      </c>
      <c r="U27" s="3">
        <v>10.220000000000001</v>
      </c>
      <c r="V27" s="3">
        <v>146</v>
      </c>
      <c r="W27" s="3">
        <v>0.49</v>
      </c>
      <c r="X27" s="3">
        <v>147</v>
      </c>
      <c r="Y27" s="3"/>
      <c r="Z27" s="3"/>
      <c r="AA27" s="3">
        <v>150.9</v>
      </c>
      <c r="AB27" s="3">
        <v>4.26</v>
      </c>
      <c r="AC27" s="3">
        <v>120.1</v>
      </c>
      <c r="AD27" s="3">
        <v>2.38</v>
      </c>
      <c r="AE27" s="3">
        <v>1.38</v>
      </c>
      <c r="AF27" s="3">
        <v>11.05</v>
      </c>
      <c r="AG27" s="3">
        <v>109.67</v>
      </c>
      <c r="AH27" s="3">
        <v>16.2</v>
      </c>
      <c r="AI27" s="3">
        <v>40</v>
      </c>
      <c r="AJ27" s="3">
        <v>68.91</v>
      </c>
      <c r="AK27" s="3">
        <v>28.95</v>
      </c>
      <c r="AL27" s="4">
        <v>1.0649999999999999</v>
      </c>
      <c r="AM27" s="4">
        <v>0.14499999999999999</v>
      </c>
    </row>
    <row r="28" spans="1:39">
      <c r="A28">
        <v>27</v>
      </c>
      <c r="B28">
        <v>6</v>
      </c>
      <c r="C28">
        <v>1.62</v>
      </c>
      <c r="D28">
        <v>3.82</v>
      </c>
      <c r="E28">
        <v>0.1</v>
      </c>
      <c r="F28">
        <v>175</v>
      </c>
      <c r="G28" s="4">
        <v>0.42408376963350791</v>
      </c>
      <c r="H28" s="4">
        <v>2.6178010471204192E-2</v>
      </c>
      <c r="I28" s="4">
        <v>45.811518324607334</v>
      </c>
      <c r="J28" s="4">
        <v>74.214659685863879</v>
      </c>
      <c r="K28">
        <v>4</v>
      </c>
      <c r="L28" t="s">
        <v>28</v>
      </c>
      <c r="N28" s="3">
        <v>6</v>
      </c>
      <c r="O28" s="3">
        <v>1.62</v>
      </c>
      <c r="P28" s="3">
        <v>3.82</v>
      </c>
      <c r="Q28" s="3">
        <v>0.1</v>
      </c>
      <c r="R28" s="3">
        <v>0.45</v>
      </c>
      <c r="S28" s="3">
        <v>0</v>
      </c>
      <c r="T28" s="3">
        <v>0.01</v>
      </c>
      <c r="U28" s="3">
        <v>9.8000000000000007</v>
      </c>
      <c r="V28" s="3">
        <v>138</v>
      </c>
      <c r="W28" s="3">
        <v>0.44</v>
      </c>
      <c r="X28" s="3">
        <v>175</v>
      </c>
      <c r="Y28" s="3">
        <v>0.4</v>
      </c>
      <c r="Z28" s="3">
        <v>3.3000000000000002E-2</v>
      </c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4"/>
      <c r="AM28" s="4"/>
    </row>
    <row r="29" spans="1:39">
      <c r="A29">
        <v>28</v>
      </c>
      <c r="B29">
        <v>9.57</v>
      </c>
      <c r="C29">
        <v>4.22</v>
      </c>
      <c r="D29">
        <v>4.66</v>
      </c>
      <c r="E29">
        <v>0.32</v>
      </c>
      <c r="F29">
        <v>249</v>
      </c>
      <c r="G29" s="4">
        <v>0.90557939914163077</v>
      </c>
      <c r="H29" s="4">
        <v>6.8669527896995708E-2</v>
      </c>
      <c r="I29" s="4">
        <v>53.433476394849784</v>
      </c>
      <c r="J29" s="4">
        <v>225.48927038626607</v>
      </c>
      <c r="K29">
        <v>4</v>
      </c>
      <c r="L29" t="s">
        <v>26</v>
      </c>
      <c r="N29" s="3">
        <v>9.57</v>
      </c>
      <c r="O29" s="3">
        <v>4.22</v>
      </c>
      <c r="P29" s="3">
        <v>4.66</v>
      </c>
      <c r="Q29" s="3">
        <v>0.32</v>
      </c>
      <c r="R29" s="3">
        <v>0.27</v>
      </c>
      <c r="S29" s="3">
        <v>0.01</v>
      </c>
      <c r="T29" s="3">
        <v>0.09</v>
      </c>
      <c r="U29" s="3">
        <v>8.18</v>
      </c>
      <c r="V29" s="3">
        <v>132</v>
      </c>
      <c r="W29" s="3">
        <v>0.44</v>
      </c>
      <c r="X29" s="3">
        <v>249</v>
      </c>
      <c r="Y29" s="3">
        <v>0.2</v>
      </c>
      <c r="Z29" s="3">
        <v>1.9E-2</v>
      </c>
      <c r="AA29" s="3"/>
      <c r="AB29" s="3"/>
      <c r="AC29" s="3"/>
      <c r="AD29" s="3"/>
      <c r="AE29" s="3"/>
      <c r="AF29" s="3">
        <v>7.2</v>
      </c>
      <c r="AG29" s="3">
        <v>107.8</v>
      </c>
      <c r="AH29" s="3"/>
      <c r="AI29" s="3"/>
      <c r="AJ29" s="3"/>
      <c r="AK29" s="3"/>
    </row>
    <row r="30" spans="1:39">
      <c r="A30">
        <v>29</v>
      </c>
      <c r="B30">
        <v>8.74</v>
      </c>
      <c r="C30">
        <v>2.65</v>
      </c>
      <c r="D30">
        <v>4.95</v>
      </c>
      <c r="E30">
        <v>0.45</v>
      </c>
      <c r="F30">
        <v>354</v>
      </c>
      <c r="G30" s="4">
        <v>0.53535353535353536</v>
      </c>
      <c r="H30" s="4">
        <v>9.0909090909090912E-2</v>
      </c>
      <c r="I30" s="4">
        <v>71.515151515151516</v>
      </c>
      <c r="J30" s="4">
        <v>189.5151515151515</v>
      </c>
      <c r="K30">
        <v>3</v>
      </c>
      <c r="L30" t="s">
        <v>27</v>
      </c>
      <c r="M30">
        <v>4.68</v>
      </c>
      <c r="N30" s="3">
        <v>8.74</v>
      </c>
      <c r="O30" s="3">
        <v>2.65</v>
      </c>
      <c r="P30" s="3">
        <v>4.95</v>
      </c>
      <c r="Q30" s="3">
        <v>0.45</v>
      </c>
      <c r="R30" s="3">
        <v>0.66</v>
      </c>
      <c r="S30" s="3">
        <v>0.03</v>
      </c>
      <c r="T30" s="3">
        <v>0</v>
      </c>
      <c r="U30" s="3">
        <v>8.52</v>
      </c>
      <c r="V30" s="3">
        <v>120</v>
      </c>
      <c r="W30" s="3">
        <v>0.41</v>
      </c>
      <c r="X30" s="3">
        <v>294</v>
      </c>
      <c r="Y30" s="3">
        <v>0.2</v>
      </c>
      <c r="Z30" s="3"/>
      <c r="AA30" s="3">
        <v>154.80000000000001</v>
      </c>
      <c r="AB30" s="3">
        <v>5.01</v>
      </c>
      <c r="AC30" s="3">
        <v>123.1</v>
      </c>
      <c r="AD30" s="3">
        <v>2.5499999999999998</v>
      </c>
      <c r="AE30" s="3">
        <v>2.25</v>
      </c>
      <c r="AF30" s="3">
        <v>10.3</v>
      </c>
      <c r="AG30" s="3">
        <v>90.86</v>
      </c>
      <c r="AH30" s="3">
        <v>28.2</v>
      </c>
      <c r="AI30" s="3">
        <v>54.7</v>
      </c>
      <c r="AJ30" s="3">
        <v>77.67</v>
      </c>
      <c r="AK30" s="3">
        <v>33.659999999999997</v>
      </c>
    </row>
    <row r="31" spans="1:39">
      <c r="A31">
        <v>30</v>
      </c>
      <c r="B31">
        <v>3.69</v>
      </c>
      <c r="C31">
        <v>2.13</v>
      </c>
      <c r="D31">
        <v>1.29</v>
      </c>
      <c r="E31">
        <v>0.2</v>
      </c>
      <c r="F31">
        <v>279</v>
      </c>
      <c r="G31" s="4">
        <v>1.6511627906976742</v>
      </c>
      <c r="H31" s="4">
        <v>0.15503875968992248</v>
      </c>
      <c r="I31" s="4">
        <v>216.27906976744185</v>
      </c>
      <c r="J31" s="4">
        <v>460.67441860465112</v>
      </c>
      <c r="K31">
        <v>3</v>
      </c>
      <c r="L31" t="s">
        <v>28</v>
      </c>
      <c r="N31" s="3">
        <v>3.69</v>
      </c>
      <c r="O31" s="3">
        <v>2.13</v>
      </c>
      <c r="P31" s="3">
        <v>1.29</v>
      </c>
      <c r="Q31" s="3">
        <v>0.2</v>
      </c>
      <c r="R31" s="3">
        <v>0.06</v>
      </c>
      <c r="S31" s="3">
        <v>0</v>
      </c>
      <c r="T31" s="3">
        <v>0</v>
      </c>
      <c r="U31" s="3">
        <v>10.54</v>
      </c>
      <c r="V31" s="3">
        <v>143</v>
      </c>
      <c r="W31" s="3">
        <v>0.48</v>
      </c>
      <c r="X31" s="3">
        <v>279</v>
      </c>
      <c r="Y31" s="3">
        <v>0.3</v>
      </c>
      <c r="Z31" s="3">
        <v>9.8000000000000004E-2</v>
      </c>
      <c r="AA31" s="3"/>
      <c r="AB31" s="3"/>
      <c r="AC31" s="3"/>
      <c r="AD31" s="3"/>
      <c r="AE31" s="3"/>
      <c r="AF31" s="3">
        <v>7.39</v>
      </c>
      <c r="AG31" s="3">
        <v>130</v>
      </c>
      <c r="AH31" s="3">
        <v>65.3</v>
      </c>
      <c r="AI31" s="3">
        <v>32.11</v>
      </c>
      <c r="AJ31" s="3"/>
      <c r="AK31" s="3"/>
    </row>
    <row r="32" spans="1:39">
      <c r="A32">
        <v>31</v>
      </c>
      <c r="B32">
        <v>3.96</v>
      </c>
      <c r="C32">
        <v>1.84</v>
      </c>
      <c r="D32">
        <v>1.91</v>
      </c>
      <c r="E32">
        <v>0.08</v>
      </c>
      <c r="F32">
        <v>275</v>
      </c>
      <c r="G32" s="4">
        <v>0.96335078534031426</v>
      </c>
      <c r="H32" s="4">
        <v>4.1884816753926704E-2</v>
      </c>
      <c r="I32" s="4">
        <v>143.97905759162305</v>
      </c>
      <c r="J32" s="4">
        <v>264.9214659685864</v>
      </c>
      <c r="K32">
        <v>3</v>
      </c>
      <c r="L32" t="s">
        <v>26</v>
      </c>
      <c r="N32" s="3">
        <v>3.96</v>
      </c>
      <c r="O32" s="3">
        <v>1.84</v>
      </c>
      <c r="P32" s="3">
        <v>1.91</v>
      </c>
      <c r="Q32" s="3">
        <v>0.08</v>
      </c>
      <c r="R32" s="3">
        <v>0.12</v>
      </c>
      <c r="S32" s="3">
        <v>0</v>
      </c>
      <c r="T32" s="3">
        <v>0</v>
      </c>
      <c r="U32" s="3">
        <v>9.56</v>
      </c>
      <c r="V32" s="3">
        <v>150</v>
      </c>
      <c r="W32" s="3">
        <v>0.48</v>
      </c>
      <c r="X32" s="3">
        <v>275</v>
      </c>
      <c r="Y32" s="3">
        <v>0.3</v>
      </c>
      <c r="Z32" s="3">
        <v>0.03</v>
      </c>
      <c r="AA32" s="3"/>
      <c r="AB32" s="3"/>
      <c r="AC32" s="3"/>
      <c r="AD32" s="3"/>
      <c r="AE32" s="3"/>
      <c r="AF32" s="3">
        <v>8.59</v>
      </c>
      <c r="AG32" s="3">
        <v>127.62</v>
      </c>
      <c r="AH32" s="3"/>
      <c r="AI32" s="3"/>
      <c r="AJ32" s="3">
        <v>75.53</v>
      </c>
      <c r="AK32" s="3"/>
    </row>
    <row r="33" spans="1:37">
      <c r="A33">
        <v>32</v>
      </c>
      <c r="B33">
        <v>6.54</v>
      </c>
      <c r="C33">
        <v>3.88</v>
      </c>
      <c r="D33">
        <v>2.15</v>
      </c>
      <c r="E33">
        <v>0.22</v>
      </c>
      <c r="F33">
        <v>323</v>
      </c>
      <c r="G33" s="4">
        <v>1.8046511627906976</v>
      </c>
      <c r="H33" s="4">
        <v>0.10232558139534884</v>
      </c>
      <c r="I33" s="4">
        <v>150.23255813953489</v>
      </c>
      <c r="J33" s="4">
        <v>582.90232558139542</v>
      </c>
      <c r="K33">
        <v>3</v>
      </c>
      <c r="L33" t="s">
        <v>26</v>
      </c>
      <c r="N33" s="3">
        <v>6.54</v>
      </c>
      <c r="O33" s="3">
        <v>3.88</v>
      </c>
      <c r="P33" s="3">
        <v>2.15</v>
      </c>
      <c r="Q33" s="3">
        <v>0.22</v>
      </c>
      <c r="R33" s="3">
        <v>0.27</v>
      </c>
      <c r="S33" s="3">
        <v>0</v>
      </c>
      <c r="T33" s="3">
        <v>0.01</v>
      </c>
      <c r="U33" s="3">
        <v>8.4600000000000009</v>
      </c>
      <c r="V33" s="3">
        <v>125</v>
      </c>
      <c r="W33" s="3">
        <v>0.4</v>
      </c>
      <c r="X33" s="3">
        <v>323</v>
      </c>
      <c r="Y33" s="3">
        <v>0.2</v>
      </c>
      <c r="Z33" s="3">
        <v>1.6E-2</v>
      </c>
      <c r="AA33" s="3"/>
      <c r="AB33" s="3"/>
      <c r="AC33" s="3"/>
      <c r="AD33" s="3"/>
      <c r="AE33" s="3"/>
      <c r="AF33" s="3">
        <v>10.28</v>
      </c>
      <c r="AG33" s="3">
        <v>148.1</v>
      </c>
      <c r="AH33" s="3"/>
      <c r="AI33" s="3"/>
      <c r="AJ33" s="3"/>
      <c r="AK33" s="3"/>
    </row>
    <row r="34" spans="1:37">
      <c r="G34" s="10"/>
      <c r="H34" s="10"/>
      <c r="I34" s="10"/>
      <c r="J34" s="10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</row>
    <row r="35" spans="1:37">
      <c r="G35" s="10"/>
      <c r="H35" s="10"/>
      <c r="I35" s="10"/>
      <c r="J35" s="10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</row>
    <row r="36" spans="1:37"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</row>
    <row r="37" spans="1:37"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</row>
    <row r="38" spans="1:37"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55A47-64B5-417C-884D-C9A65F0681CF}">
  <dimension ref="A1:AJZ69"/>
  <sheetViews>
    <sheetView workbookViewId="0">
      <pane xSplit="1" topLeftCell="W1" activePane="topRight" state="frozen"/>
      <selection pane="topRight" activeCell="AI12" sqref="AI12"/>
    </sheetView>
  </sheetViews>
  <sheetFormatPr defaultRowHeight="15.05"/>
  <cols>
    <col min="1" max="7" width="9.33203125" style="7" bestFit="1" customWidth="1"/>
    <col min="8" max="8" width="9" style="25" bestFit="1" customWidth="1"/>
    <col min="9" max="13" width="9.33203125" style="7" bestFit="1" customWidth="1"/>
    <col min="14" max="14" width="9.109375" style="7"/>
    <col min="15" max="22" width="9.33203125" style="7" bestFit="1" customWidth="1"/>
    <col min="23" max="23" width="9.33203125" style="9" bestFit="1" customWidth="1"/>
    <col min="24" max="24" width="9.33203125" style="20" bestFit="1" customWidth="1"/>
    <col min="25" max="42" width="9.33203125" style="7" bestFit="1" customWidth="1"/>
  </cols>
  <sheetData>
    <row r="1" spans="1:962" ht="15.75" thickBot="1">
      <c r="A1" s="11" t="s">
        <v>43</v>
      </c>
      <c r="B1" s="12" t="s">
        <v>44</v>
      </c>
      <c r="C1" s="12" t="s">
        <v>0</v>
      </c>
      <c r="D1" s="12" t="s">
        <v>1</v>
      </c>
      <c r="E1" s="12" t="s">
        <v>2</v>
      </c>
      <c r="F1" s="12" t="s">
        <v>3</v>
      </c>
      <c r="G1" s="12" t="s">
        <v>4</v>
      </c>
      <c r="H1" s="13"/>
      <c r="I1" s="12" t="s">
        <v>5</v>
      </c>
      <c r="J1" s="12" t="s">
        <v>6</v>
      </c>
      <c r="K1" s="12" t="s">
        <v>7</v>
      </c>
      <c r="L1" s="12" t="s">
        <v>8</v>
      </c>
      <c r="M1" s="12" t="s">
        <v>35</v>
      </c>
      <c r="N1" s="12" t="s">
        <v>45</v>
      </c>
      <c r="O1" s="12" t="s">
        <v>46</v>
      </c>
      <c r="P1" s="12" t="s">
        <v>0</v>
      </c>
      <c r="Q1" s="12" t="s">
        <v>1</v>
      </c>
      <c r="R1" s="12" t="s">
        <v>2</v>
      </c>
      <c r="S1" s="12" t="s">
        <v>3</v>
      </c>
      <c r="T1" s="12" t="s">
        <v>10</v>
      </c>
      <c r="U1" s="12" t="s">
        <v>11</v>
      </c>
      <c r="V1" s="12" t="s">
        <v>12</v>
      </c>
      <c r="W1" s="12" t="s">
        <v>13</v>
      </c>
      <c r="X1" s="14" t="s">
        <v>14</v>
      </c>
      <c r="Y1" s="12" t="s">
        <v>15</v>
      </c>
      <c r="Z1" s="12" t="s">
        <v>4</v>
      </c>
      <c r="AA1" s="12" t="s">
        <v>16</v>
      </c>
      <c r="AB1" s="15" t="s">
        <v>17</v>
      </c>
      <c r="AC1" s="12" t="s">
        <v>18</v>
      </c>
      <c r="AD1" s="12" t="s">
        <v>19</v>
      </c>
      <c r="AE1" s="12" t="s">
        <v>20</v>
      </c>
      <c r="AF1" s="12" t="s">
        <v>21</v>
      </c>
      <c r="AG1" s="12" t="s">
        <v>22</v>
      </c>
      <c r="AH1" s="12" t="s">
        <v>47</v>
      </c>
      <c r="AI1" s="12" t="s">
        <v>48</v>
      </c>
      <c r="AJ1" s="12" t="s">
        <v>23</v>
      </c>
      <c r="AK1" s="12" t="s">
        <v>24</v>
      </c>
      <c r="AL1" s="12" t="s">
        <v>40</v>
      </c>
      <c r="AM1" s="12" t="s">
        <v>41</v>
      </c>
      <c r="AN1" s="15" t="s">
        <v>42</v>
      </c>
      <c r="AO1" s="12" t="s">
        <v>25</v>
      </c>
      <c r="AP1" s="7" t="s">
        <v>34</v>
      </c>
    </row>
    <row r="2" spans="1:962" ht="15.75" thickTop="1">
      <c r="A2" s="16">
        <v>1</v>
      </c>
      <c r="B2" s="16">
        <v>2</v>
      </c>
      <c r="C2" s="16">
        <v>10.25</v>
      </c>
      <c r="D2" s="9">
        <v>6.48</v>
      </c>
      <c r="E2" s="9">
        <v>2.16</v>
      </c>
      <c r="F2" s="9">
        <v>0.17</v>
      </c>
      <c r="G2" s="16">
        <v>256</v>
      </c>
      <c r="H2" s="17">
        <v>2</v>
      </c>
      <c r="I2" s="9">
        <f t="shared" ref="I2:I63" si="0">D2/E2</f>
        <v>3</v>
      </c>
      <c r="J2" s="9">
        <f t="shared" ref="J2:J63" si="1">F2/E2</f>
        <v>7.8703703703703706E-2</v>
      </c>
      <c r="K2" s="9">
        <f t="shared" ref="K2:K63" si="2">G2/E2</f>
        <v>118.5185185185185</v>
      </c>
      <c r="L2" s="9">
        <f t="shared" ref="L2:L63" si="3">G2*D2/E2</f>
        <v>768</v>
      </c>
      <c r="M2" s="16">
        <v>11</v>
      </c>
      <c r="N2" s="16" t="s">
        <v>27</v>
      </c>
      <c r="O2" s="9">
        <v>3.05</v>
      </c>
      <c r="P2" s="9">
        <v>10.25</v>
      </c>
      <c r="Q2" s="9">
        <v>6.48</v>
      </c>
      <c r="R2" s="9">
        <v>2.16</v>
      </c>
      <c r="S2" s="9">
        <v>0.17</v>
      </c>
      <c r="T2" s="9">
        <v>1.43</v>
      </c>
      <c r="U2" s="9">
        <v>0</v>
      </c>
      <c r="V2" s="9">
        <v>0</v>
      </c>
      <c r="W2" s="18">
        <v>7.88</v>
      </c>
      <c r="X2" s="19">
        <v>104</v>
      </c>
      <c r="Y2" s="16">
        <v>0.34</v>
      </c>
      <c r="Z2" s="16">
        <v>256</v>
      </c>
      <c r="AA2" s="16">
        <v>0.4</v>
      </c>
      <c r="AB2" s="16">
        <v>2.8000000000000001E-2</v>
      </c>
      <c r="AC2" s="16">
        <v>158.9</v>
      </c>
      <c r="AD2" s="16">
        <v>4.92</v>
      </c>
      <c r="AE2" s="16">
        <v>122.1</v>
      </c>
      <c r="AF2" s="16">
        <v>2.71</v>
      </c>
      <c r="AG2" s="16">
        <v>1.46</v>
      </c>
      <c r="AH2" s="16">
        <v>12.63</v>
      </c>
      <c r="AI2" s="16">
        <v>178.77</v>
      </c>
      <c r="AJ2" s="16">
        <v>24.3</v>
      </c>
      <c r="AK2" s="16">
        <v>49.8</v>
      </c>
      <c r="AL2" s="16">
        <v>73.239999999999995</v>
      </c>
      <c r="AM2" s="16">
        <v>31.81</v>
      </c>
      <c r="AN2" s="16">
        <v>1.0720000000000001</v>
      </c>
      <c r="AO2" s="16">
        <v>0.1</v>
      </c>
      <c r="AP2" s="7">
        <v>17</v>
      </c>
    </row>
    <row r="3" spans="1:962">
      <c r="A3" s="16">
        <v>2</v>
      </c>
      <c r="B3" s="16">
        <v>2</v>
      </c>
      <c r="C3" s="16">
        <v>7.13</v>
      </c>
      <c r="D3" s="9">
        <v>5.41</v>
      </c>
      <c r="E3" s="9">
        <v>0.78</v>
      </c>
      <c r="F3" s="9">
        <v>0.26</v>
      </c>
      <c r="G3" s="16">
        <v>112</v>
      </c>
      <c r="H3" s="17">
        <v>2</v>
      </c>
      <c r="I3" s="9">
        <f t="shared" si="0"/>
        <v>6.9358974358974361</v>
      </c>
      <c r="J3" s="9">
        <f t="shared" si="1"/>
        <v>0.33333333333333331</v>
      </c>
      <c r="K3" s="9">
        <f t="shared" si="2"/>
        <v>143.58974358974359</v>
      </c>
      <c r="L3" s="9">
        <f t="shared" si="3"/>
        <v>776.82051282051293</v>
      </c>
      <c r="M3" s="16"/>
      <c r="N3" s="7" t="s">
        <v>31</v>
      </c>
      <c r="O3" s="9">
        <v>3.3</v>
      </c>
      <c r="P3" s="9">
        <v>7.13</v>
      </c>
      <c r="Q3" s="9">
        <v>5.41</v>
      </c>
      <c r="R3" s="9">
        <v>0.78</v>
      </c>
      <c r="S3" s="9">
        <v>0.26</v>
      </c>
      <c r="T3" s="9">
        <v>0.63</v>
      </c>
      <c r="U3" s="9">
        <v>0.04</v>
      </c>
      <c r="V3" s="9">
        <v>0.03</v>
      </c>
      <c r="W3" s="18">
        <v>7.6</v>
      </c>
      <c r="X3" s="19">
        <v>111</v>
      </c>
      <c r="Y3" s="16">
        <v>0.35</v>
      </c>
      <c r="Z3" s="16">
        <v>112</v>
      </c>
      <c r="AA3" s="16">
        <v>0.3</v>
      </c>
      <c r="AB3" s="16">
        <v>2.1999999999999999E-2</v>
      </c>
      <c r="AC3" s="16">
        <v>155.9</v>
      </c>
      <c r="AD3" s="16">
        <v>5.51</v>
      </c>
      <c r="AE3" s="16">
        <v>119.9</v>
      </c>
      <c r="AF3" s="16">
        <v>2.83</v>
      </c>
      <c r="AG3" s="16">
        <v>1.43</v>
      </c>
      <c r="AH3" s="16">
        <v>21.9</v>
      </c>
      <c r="AI3" s="16">
        <v>242.3</v>
      </c>
      <c r="AJ3" s="16">
        <v>17.600000000000001</v>
      </c>
      <c r="AK3" s="16">
        <v>65.400000000000006</v>
      </c>
      <c r="AL3" s="16">
        <v>70.7</v>
      </c>
      <c r="AM3" s="16">
        <v>31.4</v>
      </c>
      <c r="AN3" s="16">
        <v>1.03</v>
      </c>
      <c r="AO3" s="16">
        <v>0.14199999999999999</v>
      </c>
      <c r="AP3" s="16">
        <v>21</v>
      </c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  <c r="YZ3" s="2"/>
      <c r="ZA3" s="2"/>
      <c r="ZB3" s="2"/>
      <c r="ZC3" s="2"/>
      <c r="ZD3" s="2"/>
      <c r="ZE3" s="2"/>
      <c r="ZF3" s="2"/>
      <c r="ZG3" s="2"/>
      <c r="ZH3" s="2"/>
      <c r="ZI3" s="2"/>
      <c r="ZJ3" s="2"/>
      <c r="ZK3" s="2"/>
      <c r="ZL3" s="2"/>
      <c r="ZM3" s="2"/>
      <c r="ZN3" s="2"/>
      <c r="ZO3" s="2"/>
      <c r="ZP3" s="2"/>
      <c r="ZQ3" s="2"/>
      <c r="ZR3" s="2"/>
      <c r="ZS3" s="2"/>
      <c r="ZT3" s="2"/>
      <c r="ZU3" s="2"/>
      <c r="ZV3" s="2"/>
      <c r="ZW3" s="2"/>
      <c r="ZX3" s="2"/>
      <c r="ZY3" s="2"/>
      <c r="ZZ3" s="2"/>
      <c r="AAA3" s="2"/>
      <c r="AAB3" s="2"/>
      <c r="AAC3" s="2"/>
      <c r="AAD3" s="2"/>
      <c r="AAE3" s="2"/>
      <c r="AAF3" s="2"/>
      <c r="AAG3" s="2"/>
      <c r="AAH3" s="2"/>
      <c r="AAI3" s="2"/>
      <c r="AAJ3" s="2"/>
      <c r="AAK3" s="2"/>
      <c r="AAL3" s="2"/>
      <c r="AAM3" s="2"/>
      <c r="AAN3" s="2"/>
      <c r="AAO3" s="2"/>
      <c r="AAP3" s="2"/>
      <c r="AAQ3" s="2"/>
      <c r="AAR3" s="2"/>
      <c r="AAS3" s="2"/>
      <c r="AAT3" s="2"/>
      <c r="AAU3" s="2"/>
      <c r="AAV3" s="2"/>
      <c r="AAW3" s="2"/>
      <c r="AAX3" s="2"/>
      <c r="AAY3" s="2"/>
      <c r="AAZ3" s="2"/>
      <c r="ABA3" s="2"/>
      <c r="ABB3" s="2"/>
      <c r="ABC3" s="2"/>
      <c r="ABD3" s="2"/>
      <c r="ABE3" s="2"/>
      <c r="ABF3" s="2"/>
      <c r="ABG3" s="2"/>
      <c r="ABH3" s="2"/>
      <c r="ABI3" s="2"/>
      <c r="ABJ3" s="2"/>
      <c r="ABK3" s="2"/>
      <c r="ABL3" s="2"/>
      <c r="ABM3" s="2"/>
      <c r="ABN3" s="2"/>
      <c r="ABO3" s="2"/>
      <c r="ABP3" s="2"/>
      <c r="ABQ3" s="2"/>
      <c r="ABR3" s="2"/>
      <c r="ABS3" s="2"/>
      <c r="ABT3" s="2"/>
      <c r="ABU3" s="2"/>
      <c r="ABV3" s="2"/>
      <c r="ABW3" s="2"/>
      <c r="ABX3" s="2"/>
      <c r="ABY3" s="2"/>
      <c r="ABZ3" s="2"/>
      <c r="ACA3" s="2"/>
      <c r="ACB3" s="2"/>
      <c r="ACC3" s="2"/>
      <c r="ACD3" s="2"/>
      <c r="ACE3" s="2"/>
      <c r="ACF3" s="2"/>
      <c r="ACG3" s="2"/>
      <c r="ACH3" s="2"/>
      <c r="ACI3" s="2"/>
      <c r="ACJ3" s="2"/>
      <c r="ACK3" s="2"/>
      <c r="ACL3" s="2"/>
      <c r="ACM3" s="2"/>
      <c r="ACN3" s="2"/>
      <c r="ACO3" s="2"/>
      <c r="ACP3" s="2"/>
      <c r="ACQ3" s="2"/>
      <c r="ACR3" s="2"/>
      <c r="ACS3" s="2"/>
      <c r="ACT3" s="2"/>
      <c r="ACU3" s="2"/>
      <c r="ACV3" s="2"/>
      <c r="ACW3" s="2"/>
      <c r="ACX3" s="2"/>
      <c r="ACY3" s="2"/>
      <c r="ACZ3" s="2"/>
      <c r="ADA3" s="2"/>
      <c r="ADB3" s="2"/>
      <c r="ADC3" s="2"/>
      <c r="ADD3" s="2"/>
      <c r="ADE3" s="2"/>
      <c r="ADF3" s="2"/>
      <c r="ADG3" s="2"/>
      <c r="ADH3" s="2"/>
      <c r="ADI3" s="2"/>
      <c r="ADJ3" s="2"/>
      <c r="ADK3" s="2"/>
      <c r="ADL3" s="2"/>
      <c r="ADM3" s="2"/>
      <c r="ADN3" s="2"/>
      <c r="ADO3" s="2"/>
      <c r="ADP3" s="2"/>
      <c r="ADQ3" s="2"/>
      <c r="ADR3" s="2"/>
      <c r="ADS3" s="2"/>
      <c r="ADT3" s="2"/>
      <c r="ADU3" s="2"/>
      <c r="ADV3" s="2"/>
      <c r="ADW3" s="2"/>
      <c r="ADX3" s="2"/>
      <c r="ADY3" s="2"/>
      <c r="ADZ3" s="2"/>
      <c r="AEA3" s="2"/>
      <c r="AEB3" s="2"/>
      <c r="AEC3" s="2"/>
      <c r="AED3" s="2"/>
      <c r="AEE3" s="2"/>
      <c r="AEF3" s="2"/>
      <c r="AEG3" s="2"/>
      <c r="AEH3" s="2"/>
      <c r="AEI3" s="2"/>
      <c r="AEJ3" s="2"/>
      <c r="AEK3" s="2"/>
      <c r="AEL3" s="2"/>
      <c r="AEM3" s="2"/>
      <c r="AEN3" s="2"/>
      <c r="AEO3" s="2"/>
      <c r="AEP3" s="2"/>
      <c r="AEQ3" s="2"/>
      <c r="AER3" s="2"/>
      <c r="AES3" s="2"/>
      <c r="AET3" s="2"/>
      <c r="AEU3" s="2"/>
      <c r="AEV3" s="2"/>
      <c r="AEW3" s="2"/>
      <c r="AEX3" s="2"/>
      <c r="AEY3" s="2"/>
      <c r="AEZ3" s="2"/>
      <c r="AFA3" s="2"/>
      <c r="AFB3" s="2"/>
      <c r="AFC3" s="2"/>
      <c r="AFD3" s="2"/>
      <c r="AFE3" s="2"/>
      <c r="AFF3" s="2"/>
      <c r="AFG3" s="2"/>
      <c r="AFH3" s="2"/>
      <c r="AFI3" s="2"/>
      <c r="AFJ3" s="2"/>
      <c r="AFK3" s="2"/>
      <c r="AFL3" s="2"/>
      <c r="AFM3" s="2"/>
      <c r="AFN3" s="2"/>
      <c r="AFO3" s="2"/>
      <c r="AFP3" s="2"/>
      <c r="AFQ3" s="2"/>
      <c r="AFR3" s="2"/>
      <c r="AFS3" s="2"/>
      <c r="AFT3" s="2"/>
      <c r="AFU3" s="2"/>
      <c r="AFV3" s="2"/>
      <c r="AFW3" s="2"/>
      <c r="AFX3" s="2"/>
      <c r="AFY3" s="2"/>
      <c r="AFZ3" s="2"/>
      <c r="AGA3" s="2"/>
      <c r="AGB3" s="2"/>
      <c r="AGC3" s="2"/>
      <c r="AGD3" s="2"/>
      <c r="AGE3" s="2"/>
      <c r="AGF3" s="2"/>
      <c r="AGG3" s="2"/>
      <c r="AGH3" s="2"/>
      <c r="AGI3" s="2"/>
      <c r="AGJ3" s="2"/>
      <c r="AGK3" s="2"/>
      <c r="AGL3" s="2"/>
      <c r="AGM3" s="2"/>
      <c r="AGN3" s="2"/>
      <c r="AGO3" s="2"/>
      <c r="AGP3" s="2"/>
      <c r="AGQ3" s="2"/>
      <c r="AGR3" s="2"/>
      <c r="AGS3" s="2"/>
      <c r="AGT3" s="2"/>
      <c r="AGU3" s="2"/>
      <c r="AGV3" s="2"/>
      <c r="AGW3" s="2"/>
      <c r="AGX3" s="2"/>
      <c r="AGY3" s="2"/>
      <c r="AGZ3" s="2"/>
      <c r="AHA3" s="2"/>
      <c r="AHB3" s="2"/>
      <c r="AHC3" s="2"/>
      <c r="AHD3" s="2"/>
      <c r="AHE3" s="2"/>
      <c r="AHF3" s="2"/>
      <c r="AHG3" s="2"/>
      <c r="AHH3" s="2"/>
      <c r="AHI3" s="2"/>
      <c r="AHJ3" s="2"/>
      <c r="AHK3" s="2"/>
      <c r="AHL3" s="2"/>
      <c r="AHM3" s="2"/>
      <c r="AHN3" s="2"/>
      <c r="AHO3" s="2"/>
      <c r="AHP3" s="2"/>
      <c r="AHQ3" s="2"/>
      <c r="AHR3" s="2"/>
      <c r="AHS3" s="2"/>
      <c r="AHT3" s="2"/>
      <c r="AHU3" s="2"/>
      <c r="AHV3" s="2"/>
      <c r="AHW3" s="2"/>
      <c r="AHX3" s="2"/>
      <c r="AHY3" s="2"/>
      <c r="AHZ3" s="2"/>
      <c r="AIA3" s="2"/>
      <c r="AIB3" s="2"/>
      <c r="AIC3" s="2"/>
      <c r="AID3" s="2"/>
      <c r="AIE3" s="2"/>
      <c r="AIF3" s="2"/>
      <c r="AIG3" s="2"/>
      <c r="AIH3" s="2"/>
      <c r="AII3" s="2"/>
      <c r="AIJ3" s="2"/>
      <c r="AIK3" s="2"/>
      <c r="AIL3" s="2"/>
      <c r="AIM3" s="2"/>
      <c r="AIN3" s="2"/>
      <c r="AIO3" s="2"/>
      <c r="AIP3" s="2"/>
      <c r="AIQ3" s="2"/>
      <c r="AIR3" s="2"/>
      <c r="AIS3" s="2"/>
      <c r="AIT3" s="2"/>
      <c r="AIU3" s="2"/>
      <c r="AIV3" s="2"/>
      <c r="AIW3" s="2"/>
      <c r="AIX3" s="2"/>
      <c r="AIY3" s="2"/>
      <c r="AIZ3" s="2"/>
      <c r="AJA3" s="2"/>
      <c r="AJB3" s="2"/>
      <c r="AJC3" s="2"/>
      <c r="AJD3" s="2"/>
      <c r="AJE3" s="2"/>
      <c r="AJF3" s="2"/>
      <c r="AJG3" s="2"/>
      <c r="AJH3" s="2"/>
      <c r="AJI3" s="2"/>
      <c r="AJJ3" s="2"/>
      <c r="AJK3" s="2"/>
      <c r="AJL3" s="2"/>
      <c r="AJM3" s="2"/>
      <c r="AJN3" s="2"/>
      <c r="AJO3" s="2"/>
      <c r="AJP3" s="2"/>
      <c r="AJQ3" s="2"/>
      <c r="AJR3" s="2"/>
      <c r="AJS3" s="2"/>
      <c r="AJT3" s="2"/>
      <c r="AJU3" s="2"/>
      <c r="AJV3" s="2"/>
      <c r="AJW3" s="2"/>
      <c r="AJX3" s="2"/>
      <c r="AJY3" s="2"/>
      <c r="AJZ3" s="2"/>
    </row>
    <row r="4" spans="1:962">
      <c r="A4" s="16">
        <v>3</v>
      </c>
      <c r="B4" s="16">
        <v>2</v>
      </c>
      <c r="C4" s="16">
        <v>11.56</v>
      </c>
      <c r="D4" s="9">
        <v>9.83</v>
      </c>
      <c r="E4" s="9">
        <v>1.64</v>
      </c>
      <c r="F4" s="9">
        <v>0.08</v>
      </c>
      <c r="G4" s="16">
        <v>388</v>
      </c>
      <c r="H4" s="17">
        <v>2</v>
      </c>
      <c r="I4" s="9">
        <f t="shared" si="0"/>
        <v>5.9939024390243905</v>
      </c>
      <c r="J4" s="9">
        <f t="shared" si="1"/>
        <v>4.878048780487805E-2</v>
      </c>
      <c r="K4" s="9">
        <f t="shared" si="2"/>
        <v>236.58536585365854</v>
      </c>
      <c r="L4" s="9">
        <f t="shared" si="3"/>
        <v>2325.6341463414637</v>
      </c>
      <c r="M4" s="16">
        <v>17</v>
      </c>
      <c r="N4" s="16" t="s">
        <v>30</v>
      </c>
      <c r="O4" s="9">
        <v>3.17</v>
      </c>
      <c r="P4" s="9">
        <v>11.56</v>
      </c>
      <c r="Q4" s="9">
        <v>9.83</v>
      </c>
      <c r="R4" s="9">
        <v>1.64</v>
      </c>
      <c r="S4" s="9">
        <v>0.08</v>
      </c>
      <c r="T4" s="9">
        <v>0</v>
      </c>
      <c r="U4" s="9">
        <v>0.01</v>
      </c>
      <c r="V4" s="9">
        <v>0.01</v>
      </c>
      <c r="W4" s="18">
        <v>5.31</v>
      </c>
      <c r="X4" s="19">
        <v>79</v>
      </c>
      <c r="Y4" s="16">
        <v>0.23</v>
      </c>
      <c r="Z4" s="16">
        <v>388</v>
      </c>
      <c r="AA4" s="16">
        <v>0.1</v>
      </c>
      <c r="AB4" s="16">
        <v>5.0000000000000001E-3</v>
      </c>
      <c r="AC4" s="16">
        <v>158.80000000000001</v>
      </c>
      <c r="AD4" s="16">
        <v>4.6500000000000004</v>
      </c>
      <c r="AE4" s="16">
        <v>128.19999999999999</v>
      </c>
      <c r="AF4" s="16">
        <v>2.12</v>
      </c>
      <c r="AG4" s="16">
        <v>1.73</v>
      </c>
      <c r="AH4" s="16">
        <v>16.2</v>
      </c>
      <c r="AI4" s="16">
        <v>163.4</v>
      </c>
      <c r="AJ4" s="16">
        <v>21.7</v>
      </c>
      <c r="AK4" s="16">
        <v>15.5</v>
      </c>
      <c r="AL4" s="16">
        <v>53.56</v>
      </c>
      <c r="AM4" s="16">
        <v>19.739999999999998</v>
      </c>
      <c r="AN4" s="16">
        <v>1.02</v>
      </c>
      <c r="AO4" s="16">
        <v>0.44800000000000001</v>
      </c>
      <c r="AP4" s="16">
        <v>28</v>
      </c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  <c r="JC4" s="2"/>
      <c r="JD4" s="2"/>
      <c r="JE4" s="2"/>
      <c r="JF4" s="2"/>
      <c r="JG4" s="2"/>
      <c r="JH4" s="2"/>
      <c r="JI4" s="2"/>
      <c r="JJ4" s="2"/>
      <c r="JK4" s="2"/>
      <c r="JL4" s="2"/>
      <c r="JM4" s="2"/>
      <c r="JN4" s="2"/>
      <c r="JO4" s="2"/>
      <c r="JP4" s="2"/>
      <c r="JQ4" s="2"/>
      <c r="JR4" s="2"/>
      <c r="JS4" s="2"/>
      <c r="JT4" s="2"/>
      <c r="JU4" s="2"/>
      <c r="JV4" s="2"/>
      <c r="JW4" s="2"/>
      <c r="JX4" s="2"/>
      <c r="JY4" s="2"/>
      <c r="JZ4" s="2"/>
      <c r="KA4" s="2"/>
      <c r="KB4" s="2"/>
      <c r="KC4" s="2"/>
      <c r="KD4" s="2"/>
      <c r="KE4" s="2"/>
      <c r="KF4" s="2"/>
      <c r="KG4" s="2"/>
      <c r="KH4" s="2"/>
      <c r="KI4" s="2"/>
      <c r="KJ4" s="2"/>
      <c r="KK4" s="2"/>
      <c r="KL4" s="2"/>
      <c r="KM4" s="2"/>
      <c r="KN4" s="2"/>
      <c r="KO4" s="2"/>
      <c r="KP4" s="2"/>
      <c r="KQ4" s="2"/>
      <c r="KR4" s="2"/>
      <c r="KS4" s="2"/>
      <c r="KT4" s="2"/>
      <c r="KU4" s="2"/>
      <c r="KV4" s="2"/>
      <c r="KW4" s="2"/>
      <c r="KX4" s="2"/>
      <c r="KY4" s="2"/>
      <c r="KZ4" s="2"/>
      <c r="LA4" s="2"/>
      <c r="LB4" s="2"/>
      <c r="LC4" s="2"/>
      <c r="LD4" s="2"/>
      <c r="LE4" s="2"/>
      <c r="LF4" s="2"/>
      <c r="LG4" s="2"/>
      <c r="LH4" s="2"/>
      <c r="LI4" s="2"/>
      <c r="LJ4" s="2"/>
      <c r="LK4" s="2"/>
      <c r="LL4" s="2"/>
      <c r="LM4" s="2"/>
      <c r="LN4" s="2"/>
      <c r="LO4" s="2"/>
      <c r="LP4" s="2"/>
      <c r="LQ4" s="2"/>
      <c r="LR4" s="2"/>
      <c r="LS4" s="2"/>
      <c r="LT4" s="2"/>
      <c r="LU4" s="2"/>
      <c r="LV4" s="2"/>
      <c r="LW4" s="2"/>
      <c r="LX4" s="2"/>
      <c r="LY4" s="2"/>
      <c r="LZ4" s="2"/>
      <c r="MA4" s="2"/>
      <c r="MB4" s="2"/>
      <c r="MC4" s="2"/>
      <c r="MD4" s="2"/>
      <c r="ME4" s="2"/>
      <c r="MF4" s="2"/>
      <c r="MG4" s="2"/>
      <c r="MH4" s="2"/>
      <c r="MI4" s="2"/>
      <c r="MJ4" s="2"/>
      <c r="MK4" s="2"/>
      <c r="ML4" s="2"/>
      <c r="MM4" s="2"/>
      <c r="MN4" s="2"/>
      <c r="MO4" s="2"/>
      <c r="MP4" s="2"/>
      <c r="MQ4" s="2"/>
      <c r="MR4" s="2"/>
      <c r="MS4" s="2"/>
      <c r="MT4" s="2"/>
      <c r="MU4" s="2"/>
      <c r="MV4" s="2"/>
      <c r="MW4" s="2"/>
      <c r="MX4" s="2"/>
      <c r="MY4" s="2"/>
      <c r="MZ4" s="2"/>
      <c r="NA4" s="2"/>
      <c r="NB4" s="2"/>
      <c r="NC4" s="2"/>
      <c r="ND4" s="2"/>
      <c r="NE4" s="2"/>
      <c r="NF4" s="2"/>
      <c r="NG4" s="2"/>
      <c r="NH4" s="2"/>
      <c r="NI4" s="2"/>
      <c r="NJ4" s="2"/>
      <c r="NK4" s="2"/>
      <c r="NL4" s="2"/>
      <c r="NM4" s="2"/>
      <c r="NN4" s="2"/>
      <c r="NO4" s="2"/>
      <c r="NP4" s="2"/>
      <c r="NQ4" s="2"/>
      <c r="NR4" s="2"/>
      <c r="NS4" s="2"/>
      <c r="NT4" s="2"/>
      <c r="NU4" s="2"/>
      <c r="NV4" s="2"/>
      <c r="NW4" s="2"/>
      <c r="NX4" s="2"/>
      <c r="NY4" s="2"/>
      <c r="NZ4" s="2"/>
      <c r="OA4" s="2"/>
      <c r="OB4" s="2"/>
      <c r="OC4" s="2"/>
      <c r="OD4" s="2"/>
      <c r="OE4" s="2"/>
      <c r="OF4" s="2"/>
      <c r="OG4" s="2"/>
      <c r="OH4" s="2"/>
      <c r="OI4" s="2"/>
      <c r="OJ4" s="2"/>
      <c r="OK4" s="2"/>
      <c r="OL4" s="2"/>
      <c r="OM4" s="2"/>
      <c r="ON4" s="2"/>
      <c r="OO4" s="2"/>
      <c r="OP4" s="2"/>
      <c r="OQ4" s="2"/>
      <c r="OR4" s="2"/>
      <c r="OS4" s="2"/>
      <c r="OT4" s="2"/>
      <c r="OU4" s="2"/>
      <c r="OV4" s="2"/>
      <c r="OW4" s="2"/>
      <c r="OX4" s="2"/>
      <c r="OY4" s="2"/>
      <c r="OZ4" s="2"/>
      <c r="PA4" s="2"/>
      <c r="PB4" s="2"/>
      <c r="PC4" s="2"/>
      <c r="PD4" s="2"/>
      <c r="PE4" s="2"/>
      <c r="PF4" s="2"/>
      <c r="PG4" s="2"/>
      <c r="PH4" s="2"/>
      <c r="PI4" s="2"/>
      <c r="PJ4" s="2"/>
      <c r="PK4" s="2"/>
      <c r="PL4" s="2"/>
      <c r="PM4" s="2"/>
      <c r="PN4" s="2"/>
      <c r="PO4" s="2"/>
      <c r="PP4" s="2"/>
      <c r="PQ4" s="2"/>
      <c r="PR4" s="2"/>
      <c r="PS4" s="2"/>
      <c r="PT4" s="2"/>
      <c r="PU4" s="2"/>
      <c r="PV4" s="2"/>
      <c r="PW4" s="2"/>
      <c r="PX4" s="2"/>
      <c r="PY4" s="2"/>
      <c r="PZ4" s="2"/>
      <c r="QA4" s="2"/>
      <c r="QB4" s="2"/>
      <c r="QC4" s="2"/>
      <c r="QD4" s="2"/>
      <c r="QE4" s="2"/>
      <c r="QF4" s="2"/>
      <c r="QG4" s="2"/>
      <c r="QH4" s="2"/>
      <c r="QI4" s="2"/>
      <c r="QJ4" s="2"/>
      <c r="QK4" s="2"/>
      <c r="QL4" s="2"/>
      <c r="QM4" s="2"/>
      <c r="QN4" s="2"/>
      <c r="QO4" s="2"/>
      <c r="QP4" s="2"/>
      <c r="QQ4" s="2"/>
      <c r="QR4" s="2"/>
      <c r="QS4" s="2"/>
      <c r="QT4" s="2"/>
      <c r="QU4" s="2"/>
      <c r="QV4" s="2"/>
      <c r="QW4" s="2"/>
      <c r="QX4" s="2"/>
      <c r="QY4" s="2"/>
      <c r="QZ4" s="2"/>
      <c r="RA4" s="2"/>
      <c r="RB4" s="2"/>
      <c r="RC4" s="2"/>
      <c r="RD4" s="2"/>
      <c r="RE4" s="2"/>
      <c r="RF4" s="2"/>
      <c r="RG4" s="2"/>
      <c r="RH4" s="2"/>
      <c r="RI4" s="2"/>
      <c r="RJ4" s="2"/>
      <c r="RK4" s="2"/>
      <c r="RL4" s="2"/>
      <c r="RM4" s="2"/>
      <c r="RN4" s="2"/>
      <c r="RO4" s="2"/>
      <c r="RP4" s="2"/>
      <c r="RQ4" s="2"/>
      <c r="RR4" s="2"/>
      <c r="RS4" s="2"/>
      <c r="RT4" s="2"/>
      <c r="RU4" s="2"/>
      <c r="RV4" s="2"/>
      <c r="RW4" s="2"/>
      <c r="RX4" s="2"/>
      <c r="RY4" s="2"/>
      <c r="RZ4" s="2"/>
      <c r="SA4" s="2"/>
      <c r="SB4" s="2"/>
      <c r="SC4" s="2"/>
      <c r="SD4" s="2"/>
      <c r="SE4" s="2"/>
      <c r="SF4" s="2"/>
      <c r="SG4" s="2"/>
      <c r="SH4" s="2"/>
      <c r="SI4" s="2"/>
      <c r="SJ4" s="2"/>
      <c r="SK4" s="2"/>
      <c r="SL4" s="2"/>
      <c r="SM4" s="2"/>
      <c r="SN4" s="2"/>
      <c r="SO4" s="2"/>
      <c r="SP4" s="2"/>
      <c r="SQ4" s="2"/>
      <c r="SR4" s="2"/>
      <c r="SS4" s="2"/>
      <c r="ST4" s="2"/>
      <c r="SU4" s="2"/>
      <c r="SV4" s="2"/>
      <c r="SW4" s="2"/>
      <c r="SX4" s="2"/>
      <c r="SY4" s="2"/>
      <c r="SZ4" s="2"/>
      <c r="TA4" s="2"/>
      <c r="TB4" s="2"/>
      <c r="TC4" s="2"/>
      <c r="TD4" s="2"/>
      <c r="TE4" s="2"/>
      <c r="TF4" s="2"/>
      <c r="TG4" s="2"/>
      <c r="TH4" s="2"/>
      <c r="TI4" s="2"/>
      <c r="TJ4" s="2"/>
      <c r="TK4" s="2"/>
      <c r="TL4" s="2"/>
      <c r="TM4" s="2"/>
      <c r="TN4" s="2"/>
      <c r="TO4" s="2"/>
      <c r="TP4" s="2"/>
      <c r="TQ4" s="2"/>
      <c r="TR4" s="2"/>
      <c r="TS4" s="2"/>
      <c r="TT4" s="2"/>
      <c r="TU4" s="2"/>
      <c r="TV4" s="2"/>
      <c r="TW4" s="2"/>
      <c r="TX4" s="2"/>
      <c r="TY4" s="2"/>
      <c r="TZ4" s="2"/>
      <c r="UA4" s="2"/>
      <c r="UB4" s="2"/>
      <c r="UC4" s="2"/>
      <c r="UD4" s="2"/>
      <c r="UE4" s="2"/>
      <c r="UF4" s="2"/>
      <c r="UG4" s="2"/>
      <c r="UH4" s="2"/>
      <c r="UI4" s="2"/>
      <c r="UJ4" s="2"/>
      <c r="UK4" s="2"/>
      <c r="UL4" s="2"/>
      <c r="UM4" s="2"/>
      <c r="UN4" s="2"/>
      <c r="UO4" s="2"/>
      <c r="UP4" s="2"/>
      <c r="UQ4" s="2"/>
      <c r="UR4" s="2"/>
      <c r="US4" s="2"/>
      <c r="UT4" s="2"/>
      <c r="UU4" s="2"/>
      <c r="UV4" s="2"/>
      <c r="UW4" s="2"/>
      <c r="UX4" s="2"/>
      <c r="UY4" s="2"/>
      <c r="UZ4" s="2"/>
      <c r="VA4" s="2"/>
      <c r="VB4" s="2"/>
      <c r="VC4" s="2"/>
      <c r="VD4" s="2"/>
      <c r="VE4" s="2"/>
      <c r="VF4" s="2"/>
      <c r="VG4" s="2"/>
      <c r="VH4" s="2"/>
      <c r="VI4" s="2"/>
      <c r="VJ4" s="2"/>
      <c r="VK4" s="2"/>
      <c r="VL4" s="2"/>
      <c r="VM4" s="2"/>
      <c r="VN4" s="2"/>
      <c r="VO4" s="2"/>
      <c r="VP4" s="2"/>
      <c r="VQ4" s="2"/>
      <c r="VR4" s="2"/>
      <c r="VS4" s="2"/>
      <c r="VT4" s="2"/>
      <c r="VU4" s="2"/>
      <c r="VV4" s="2"/>
      <c r="VW4" s="2"/>
      <c r="VX4" s="2"/>
      <c r="VY4" s="2"/>
      <c r="VZ4" s="2"/>
      <c r="WA4" s="2"/>
      <c r="WB4" s="2"/>
      <c r="WC4" s="2"/>
      <c r="WD4" s="2"/>
      <c r="WE4" s="2"/>
      <c r="WF4" s="2"/>
      <c r="WG4" s="2"/>
      <c r="WH4" s="2"/>
      <c r="WI4" s="2"/>
      <c r="WJ4" s="2"/>
      <c r="WK4" s="2"/>
      <c r="WL4" s="2"/>
      <c r="WM4" s="2"/>
      <c r="WN4" s="2"/>
      <c r="WO4" s="2"/>
      <c r="WP4" s="2"/>
      <c r="WQ4" s="2"/>
      <c r="WR4" s="2"/>
      <c r="WS4" s="2"/>
      <c r="WT4" s="2"/>
      <c r="WU4" s="2"/>
      <c r="WV4" s="2"/>
      <c r="WW4" s="2"/>
      <c r="WX4" s="2"/>
      <c r="WY4" s="2"/>
      <c r="WZ4" s="2"/>
      <c r="XA4" s="2"/>
      <c r="XB4" s="2"/>
      <c r="XC4" s="2"/>
      <c r="XD4" s="2"/>
      <c r="XE4" s="2"/>
      <c r="XF4" s="2"/>
      <c r="XG4" s="2"/>
      <c r="XH4" s="2"/>
      <c r="XI4" s="2"/>
      <c r="XJ4" s="2"/>
      <c r="XK4" s="2"/>
      <c r="XL4" s="2"/>
      <c r="XM4" s="2"/>
      <c r="XN4" s="2"/>
      <c r="XO4" s="2"/>
      <c r="XP4" s="2"/>
      <c r="XQ4" s="2"/>
      <c r="XR4" s="2"/>
      <c r="XS4" s="2"/>
      <c r="XT4" s="2"/>
      <c r="XU4" s="2"/>
      <c r="XV4" s="2"/>
      <c r="XW4" s="2"/>
      <c r="XX4" s="2"/>
      <c r="XY4" s="2"/>
      <c r="XZ4" s="2"/>
      <c r="YA4" s="2"/>
      <c r="YB4" s="2"/>
      <c r="YC4" s="2"/>
      <c r="YD4" s="2"/>
      <c r="YE4" s="2"/>
      <c r="YF4" s="2"/>
      <c r="YG4" s="2"/>
      <c r="YH4" s="2"/>
      <c r="YI4" s="2"/>
      <c r="YJ4" s="2"/>
      <c r="YK4" s="2"/>
      <c r="YL4" s="2"/>
      <c r="YM4" s="2"/>
      <c r="YN4" s="2"/>
      <c r="YO4" s="2"/>
      <c r="YP4" s="2"/>
      <c r="YQ4" s="2"/>
      <c r="YR4" s="2"/>
      <c r="YS4" s="2"/>
      <c r="YT4" s="2"/>
      <c r="YU4" s="2"/>
      <c r="YV4" s="2"/>
      <c r="YW4" s="2"/>
      <c r="YX4" s="2"/>
      <c r="YY4" s="2"/>
      <c r="YZ4" s="2"/>
      <c r="ZA4" s="2"/>
      <c r="ZB4" s="2"/>
      <c r="ZC4" s="2"/>
      <c r="ZD4" s="2"/>
      <c r="ZE4" s="2"/>
      <c r="ZF4" s="2"/>
      <c r="ZG4" s="2"/>
      <c r="ZH4" s="2"/>
      <c r="ZI4" s="2"/>
      <c r="ZJ4" s="2"/>
      <c r="ZK4" s="2"/>
      <c r="ZL4" s="2"/>
      <c r="ZM4" s="2"/>
      <c r="ZN4" s="2"/>
      <c r="ZO4" s="2"/>
      <c r="ZP4" s="2"/>
      <c r="ZQ4" s="2"/>
      <c r="ZR4" s="2"/>
      <c r="ZS4" s="2"/>
      <c r="ZT4" s="2"/>
      <c r="ZU4" s="2"/>
      <c r="ZV4" s="2"/>
      <c r="ZW4" s="2"/>
      <c r="ZX4" s="2"/>
      <c r="ZY4" s="2"/>
      <c r="ZZ4" s="2"/>
      <c r="AAA4" s="2"/>
      <c r="AAB4" s="2"/>
      <c r="AAC4" s="2"/>
      <c r="AAD4" s="2"/>
      <c r="AAE4" s="2"/>
      <c r="AAF4" s="2"/>
      <c r="AAG4" s="2"/>
      <c r="AAH4" s="2"/>
      <c r="AAI4" s="2"/>
      <c r="AAJ4" s="2"/>
      <c r="AAK4" s="2"/>
      <c r="AAL4" s="2"/>
      <c r="AAM4" s="2"/>
      <c r="AAN4" s="2"/>
      <c r="AAO4" s="2"/>
      <c r="AAP4" s="2"/>
      <c r="AAQ4" s="2"/>
      <c r="AAR4" s="2"/>
      <c r="AAS4" s="2"/>
      <c r="AAT4" s="2"/>
      <c r="AAU4" s="2"/>
      <c r="AAV4" s="2"/>
      <c r="AAW4" s="2"/>
      <c r="AAX4" s="2"/>
      <c r="AAY4" s="2"/>
      <c r="AAZ4" s="2"/>
      <c r="ABA4" s="2"/>
      <c r="ABB4" s="2"/>
      <c r="ABC4" s="2"/>
      <c r="ABD4" s="2"/>
      <c r="ABE4" s="2"/>
      <c r="ABF4" s="2"/>
      <c r="ABG4" s="2"/>
      <c r="ABH4" s="2"/>
      <c r="ABI4" s="2"/>
      <c r="ABJ4" s="2"/>
      <c r="ABK4" s="2"/>
      <c r="ABL4" s="2"/>
      <c r="ABM4" s="2"/>
      <c r="ABN4" s="2"/>
      <c r="ABO4" s="2"/>
      <c r="ABP4" s="2"/>
      <c r="ABQ4" s="2"/>
      <c r="ABR4" s="2"/>
      <c r="ABS4" s="2"/>
      <c r="ABT4" s="2"/>
      <c r="ABU4" s="2"/>
      <c r="ABV4" s="2"/>
      <c r="ABW4" s="2"/>
      <c r="ABX4" s="2"/>
      <c r="ABY4" s="2"/>
      <c r="ABZ4" s="2"/>
      <c r="ACA4" s="2"/>
      <c r="ACB4" s="2"/>
      <c r="ACC4" s="2"/>
      <c r="ACD4" s="2"/>
      <c r="ACE4" s="2"/>
      <c r="ACF4" s="2"/>
      <c r="ACG4" s="2"/>
      <c r="ACH4" s="2"/>
      <c r="ACI4" s="2"/>
      <c r="ACJ4" s="2"/>
      <c r="ACK4" s="2"/>
      <c r="ACL4" s="2"/>
      <c r="ACM4" s="2"/>
      <c r="ACN4" s="2"/>
      <c r="ACO4" s="2"/>
      <c r="ACP4" s="2"/>
      <c r="ACQ4" s="2"/>
      <c r="ACR4" s="2"/>
      <c r="ACS4" s="2"/>
      <c r="ACT4" s="2"/>
      <c r="ACU4" s="2"/>
      <c r="ACV4" s="2"/>
      <c r="ACW4" s="2"/>
      <c r="ACX4" s="2"/>
      <c r="ACY4" s="2"/>
      <c r="ACZ4" s="2"/>
      <c r="ADA4" s="2"/>
      <c r="ADB4" s="2"/>
      <c r="ADC4" s="2"/>
      <c r="ADD4" s="2"/>
      <c r="ADE4" s="2"/>
      <c r="ADF4" s="2"/>
      <c r="ADG4" s="2"/>
      <c r="ADH4" s="2"/>
      <c r="ADI4" s="2"/>
      <c r="ADJ4" s="2"/>
      <c r="ADK4" s="2"/>
      <c r="ADL4" s="2"/>
      <c r="ADM4" s="2"/>
      <c r="ADN4" s="2"/>
      <c r="ADO4" s="2"/>
      <c r="ADP4" s="2"/>
      <c r="ADQ4" s="2"/>
      <c r="ADR4" s="2"/>
      <c r="ADS4" s="2"/>
      <c r="ADT4" s="2"/>
      <c r="ADU4" s="2"/>
      <c r="ADV4" s="2"/>
      <c r="ADW4" s="2"/>
      <c r="ADX4" s="2"/>
      <c r="ADY4" s="2"/>
      <c r="ADZ4" s="2"/>
      <c r="AEA4" s="2"/>
      <c r="AEB4" s="2"/>
      <c r="AEC4" s="2"/>
      <c r="AED4" s="2"/>
      <c r="AEE4" s="2"/>
      <c r="AEF4" s="2"/>
      <c r="AEG4" s="2"/>
      <c r="AEH4" s="2"/>
      <c r="AEI4" s="2"/>
      <c r="AEJ4" s="2"/>
      <c r="AEK4" s="2"/>
      <c r="AEL4" s="2"/>
      <c r="AEM4" s="2"/>
      <c r="AEN4" s="2"/>
      <c r="AEO4" s="2"/>
      <c r="AEP4" s="2"/>
      <c r="AEQ4" s="2"/>
      <c r="AER4" s="2"/>
      <c r="AES4" s="2"/>
      <c r="AET4" s="2"/>
      <c r="AEU4" s="2"/>
      <c r="AEV4" s="2"/>
      <c r="AEW4" s="2"/>
      <c r="AEX4" s="2"/>
      <c r="AEY4" s="2"/>
      <c r="AEZ4" s="2"/>
      <c r="AFA4" s="2"/>
      <c r="AFB4" s="2"/>
      <c r="AFC4" s="2"/>
      <c r="AFD4" s="2"/>
      <c r="AFE4" s="2"/>
      <c r="AFF4" s="2"/>
      <c r="AFG4" s="2"/>
      <c r="AFH4" s="2"/>
      <c r="AFI4" s="2"/>
      <c r="AFJ4" s="2"/>
      <c r="AFK4" s="2"/>
      <c r="AFL4" s="2"/>
      <c r="AFM4" s="2"/>
      <c r="AFN4" s="2"/>
      <c r="AFO4" s="2"/>
      <c r="AFP4" s="2"/>
      <c r="AFQ4" s="2"/>
      <c r="AFR4" s="2"/>
      <c r="AFS4" s="2"/>
      <c r="AFT4" s="2"/>
      <c r="AFU4" s="2"/>
      <c r="AFV4" s="2"/>
      <c r="AFW4" s="2"/>
      <c r="AFX4" s="2"/>
      <c r="AFY4" s="2"/>
      <c r="AFZ4" s="2"/>
      <c r="AGA4" s="2"/>
      <c r="AGB4" s="2"/>
      <c r="AGC4" s="2"/>
      <c r="AGD4" s="2"/>
      <c r="AGE4" s="2"/>
      <c r="AGF4" s="2"/>
      <c r="AGG4" s="2"/>
      <c r="AGH4" s="2"/>
      <c r="AGI4" s="2"/>
      <c r="AGJ4" s="2"/>
      <c r="AGK4" s="2"/>
      <c r="AGL4" s="2"/>
      <c r="AGM4" s="2"/>
      <c r="AGN4" s="2"/>
      <c r="AGO4" s="2"/>
      <c r="AGP4" s="2"/>
      <c r="AGQ4" s="2"/>
      <c r="AGR4" s="2"/>
      <c r="AGS4" s="2"/>
      <c r="AGT4" s="2"/>
      <c r="AGU4" s="2"/>
      <c r="AGV4" s="2"/>
      <c r="AGW4" s="2"/>
      <c r="AGX4" s="2"/>
      <c r="AGY4" s="2"/>
      <c r="AGZ4" s="2"/>
      <c r="AHA4" s="2"/>
      <c r="AHB4" s="2"/>
      <c r="AHC4" s="2"/>
      <c r="AHD4" s="2"/>
      <c r="AHE4" s="2"/>
      <c r="AHF4" s="2"/>
      <c r="AHG4" s="2"/>
      <c r="AHH4" s="2"/>
      <c r="AHI4" s="2"/>
      <c r="AHJ4" s="2"/>
      <c r="AHK4" s="2"/>
      <c r="AHL4" s="2"/>
      <c r="AHM4" s="2"/>
      <c r="AHN4" s="2"/>
      <c r="AHO4" s="2"/>
      <c r="AHP4" s="2"/>
      <c r="AHQ4" s="2"/>
      <c r="AHR4" s="2"/>
      <c r="AHS4" s="2"/>
      <c r="AHT4" s="2"/>
      <c r="AHU4" s="2"/>
      <c r="AHV4" s="2"/>
      <c r="AHW4" s="2"/>
      <c r="AHX4" s="2"/>
      <c r="AHY4" s="2"/>
      <c r="AHZ4" s="2"/>
      <c r="AIA4" s="2"/>
      <c r="AIB4" s="2"/>
      <c r="AIC4" s="2"/>
      <c r="AID4" s="2"/>
      <c r="AIE4" s="2"/>
      <c r="AIF4" s="2"/>
      <c r="AIG4" s="2"/>
      <c r="AIH4" s="2"/>
      <c r="AII4" s="2"/>
      <c r="AIJ4" s="2"/>
      <c r="AIK4" s="2"/>
      <c r="AIL4" s="2"/>
      <c r="AIM4" s="2"/>
      <c r="AIN4" s="2"/>
      <c r="AIO4" s="2"/>
      <c r="AIP4" s="2"/>
      <c r="AIQ4" s="2"/>
      <c r="AIR4" s="2"/>
      <c r="AIS4" s="2"/>
      <c r="AIT4" s="2"/>
      <c r="AIU4" s="2"/>
      <c r="AIV4" s="2"/>
      <c r="AIW4" s="2"/>
      <c r="AIX4" s="2"/>
      <c r="AIY4" s="2"/>
      <c r="AIZ4" s="2"/>
      <c r="AJA4" s="2"/>
      <c r="AJB4" s="2"/>
      <c r="AJC4" s="2"/>
      <c r="AJD4" s="2"/>
      <c r="AJE4" s="2"/>
      <c r="AJF4" s="2"/>
      <c r="AJG4" s="2"/>
      <c r="AJH4" s="2"/>
      <c r="AJI4" s="2"/>
      <c r="AJJ4" s="2"/>
      <c r="AJK4" s="2"/>
      <c r="AJL4" s="2"/>
      <c r="AJM4" s="2"/>
      <c r="AJN4" s="2"/>
      <c r="AJO4" s="2"/>
      <c r="AJP4" s="2"/>
      <c r="AJQ4" s="2"/>
      <c r="AJR4" s="2"/>
      <c r="AJS4" s="2"/>
      <c r="AJT4" s="2"/>
      <c r="AJU4" s="2"/>
      <c r="AJV4" s="2"/>
      <c r="AJW4" s="2"/>
      <c r="AJX4" s="2"/>
      <c r="AJY4" s="2"/>
      <c r="AJZ4" s="2"/>
    </row>
    <row r="5" spans="1:962">
      <c r="A5" s="16">
        <v>4</v>
      </c>
      <c r="B5" s="16">
        <v>2</v>
      </c>
      <c r="C5" s="16">
        <v>7.15</v>
      </c>
      <c r="D5" s="9">
        <v>3.51</v>
      </c>
      <c r="E5" s="9">
        <v>2.99</v>
      </c>
      <c r="F5" s="9">
        <v>0.09</v>
      </c>
      <c r="G5" s="16">
        <v>133</v>
      </c>
      <c r="H5" s="17">
        <v>2</v>
      </c>
      <c r="I5" s="9">
        <f t="shared" si="0"/>
        <v>1.1739130434782608</v>
      </c>
      <c r="J5" s="9">
        <f t="shared" si="1"/>
        <v>3.0100334448160532E-2</v>
      </c>
      <c r="K5" s="9">
        <f t="shared" si="2"/>
        <v>44.481605351170565</v>
      </c>
      <c r="L5" s="9">
        <f t="shared" si="3"/>
        <v>156.13043478260869</v>
      </c>
      <c r="M5" s="16">
        <v>7</v>
      </c>
      <c r="N5" s="7" t="s">
        <v>31</v>
      </c>
      <c r="O5" s="9">
        <v>4.37</v>
      </c>
      <c r="P5" s="9">
        <v>7.15</v>
      </c>
      <c r="Q5" s="9">
        <v>3.51</v>
      </c>
      <c r="R5" s="9">
        <v>2.99</v>
      </c>
      <c r="S5" s="9">
        <v>0.09</v>
      </c>
      <c r="T5" s="9">
        <v>0.51</v>
      </c>
      <c r="U5" s="9">
        <v>0.04</v>
      </c>
      <c r="V5" s="9">
        <v>0</v>
      </c>
      <c r="W5" s="18">
        <v>9.36</v>
      </c>
      <c r="X5" s="19">
        <v>121</v>
      </c>
      <c r="Y5" s="16">
        <v>0.39</v>
      </c>
      <c r="Z5" s="16">
        <v>133</v>
      </c>
      <c r="AA5" s="16">
        <v>0.3</v>
      </c>
      <c r="AB5" s="16">
        <v>3.2000000000000001E-2</v>
      </c>
      <c r="AC5" s="16">
        <v>165.4</v>
      </c>
      <c r="AD5" s="16">
        <v>4.16</v>
      </c>
      <c r="AE5" s="16">
        <v>126.3</v>
      </c>
      <c r="AF5" s="16">
        <v>2.59</v>
      </c>
      <c r="AG5" s="16">
        <v>1.32</v>
      </c>
      <c r="AH5" s="16">
        <v>30.9</v>
      </c>
      <c r="AI5" s="16">
        <v>173.2</v>
      </c>
      <c r="AJ5" s="16">
        <v>30.9</v>
      </c>
      <c r="AK5" s="16">
        <v>55.2</v>
      </c>
      <c r="AL5" s="16">
        <v>81.62</v>
      </c>
      <c r="AM5" s="16">
        <v>36.6</v>
      </c>
      <c r="AN5" s="16">
        <v>1.0429999999999999</v>
      </c>
      <c r="AO5" s="16">
        <v>0.14000000000000001</v>
      </c>
      <c r="AP5" s="16">
        <v>14</v>
      </c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  <c r="JE5" s="2"/>
      <c r="JF5" s="2"/>
      <c r="JG5" s="2"/>
      <c r="JH5" s="2"/>
      <c r="JI5" s="2"/>
      <c r="JJ5" s="2"/>
      <c r="JK5" s="2"/>
      <c r="JL5" s="2"/>
      <c r="JM5" s="2"/>
      <c r="JN5" s="2"/>
      <c r="JO5" s="2"/>
      <c r="JP5" s="2"/>
      <c r="JQ5" s="2"/>
      <c r="JR5" s="2"/>
      <c r="JS5" s="2"/>
      <c r="JT5" s="2"/>
      <c r="JU5" s="2"/>
      <c r="JV5" s="2"/>
      <c r="JW5" s="2"/>
      <c r="JX5" s="2"/>
      <c r="JY5" s="2"/>
      <c r="JZ5" s="2"/>
      <c r="KA5" s="2"/>
      <c r="KB5" s="2"/>
      <c r="KC5" s="2"/>
      <c r="KD5" s="2"/>
      <c r="KE5" s="2"/>
      <c r="KF5" s="2"/>
      <c r="KG5" s="2"/>
      <c r="KH5" s="2"/>
      <c r="KI5" s="2"/>
      <c r="KJ5" s="2"/>
      <c r="KK5" s="2"/>
      <c r="KL5" s="2"/>
      <c r="KM5" s="2"/>
      <c r="KN5" s="2"/>
      <c r="KO5" s="2"/>
      <c r="KP5" s="2"/>
      <c r="KQ5" s="2"/>
      <c r="KR5" s="2"/>
      <c r="KS5" s="2"/>
      <c r="KT5" s="2"/>
      <c r="KU5" s="2"/>
      <c r="KV5" s="2"/>
      <c r="KW5" s="2"/>
      <c r="KX5" s="2"/>
      <c r="KY5" s="2"/>
      <c r="KZ5" s="2"/>
      <c r="LA5" s="2"/>
      <c r="LB5" s="2"/>
      <c r="LC5" s="2"/>
      <c r="LD5" s="2"/>
      <c r="LE5" s="2"/>
      <c r="LF5" s="2"/>
      <c r="LG5" s="2"/>
      <c r="LH5" s="2"/>
      <c r="LI5" s="2"/>
      <c r="LJ5" s="2"/>
      <c r="LK5" s="2"/>
      <c r="LL5" s="2"/>
      <c r="LM5" s="2"/>
      <c r="LN5" s="2"/>
      <c r="LO5" s="2"/>
      <c r="LP5" s="2"/>
      <c r="LQ5" s="2"/>
      <c r="LR5" s="2"/>
      <c r="LS5" s="2"/>
      <c r="LT5" s="2"/>
      <c r="LU5" s="2"/>
      <c r="LV5" s="2"/>
      <c r="LW5" s="2"/>
      <c r="LX5" s="2"/>
      <c r="LY5" s="2"/>
      <c r="LZ5" s="2"/>
      <c r="MA5" s="2"/>
      <c r="MB5" s="2"/>
      <c r="MC5" s="2"/>
      <c r="MD5" s="2"/>
      <c r="ME5" s="2"/>
      <c r="MF5" s="2"/>
      <c r="MG5" s="2"/>
      <c r="MH5" s="2"/>
      <c r="MI5" s="2"/>
      <c r="MJ5" s="2"/>
      <c r="MK5" s="2"/>
      <c r="ML5" s="2"/>
      <c r="MM5" s="2"/>
      <c r="MN5" s="2"/>
      <c r="MO5" s="2"/>
      <c r="MP5" s="2"/>
      <c r="MQ5" s="2"/>
      <c r="MR5" s="2"/>
      <c r="MS5" s="2"/>
      <c r="MT5" s="2"/>
      <c r="MU5" s="2"/>
      <c r="MV5" s="2"/>
      <c r="MW5" s="2"/>
      <c r="MX5" s="2"/>
      <c r="MY5" s="2"/>
      <c r="MZ5" s="2"/>
      <c r="NA5" s="2"/>
      <c r="NB5" s="2"/>
      <c r="NC5" s="2"/>
      <c r="ND5" s="2"/>
      <c r="NE5" s="2"/>
      <c r="NF5" s="2"/>
      <c r="NG5" s="2"/>
      <c r="NH5" s="2"/>
      <c r="NI5" s="2"/>
      <c r="NJ5" s="2"/>
      <c r="NK5" s="2"/>
      <c r="NL5" s="2"/>
      <c r="NM5" s="2"/>
      <c r="NN5" s="2"/>
      <c r="NO5" s="2"/>
      <c r="NP5" s="2"/>
      <c r="NQ5" s="2"/>
      <c r="NR5" s="2"/>
      <c r="NS5" s="2"/>
      <c r="NT5" s="2"/>
      <c r="NU5" s="2"/>
      <c r="NV5" s="2"/>
      <c r="NW5" s="2"/>
      <c r="NX5" s="2"/>
      <c r="NY5" s="2"/>
      <c r="NZ5" s="2"/>
      <c r="OA5" s="2"/>
      <c r="OB5" s="2"/>
      <c r="OC5" s="2"/>
      <c r="OD5" s="2"/>
      <c r="OE5" s="2"/>
      <c r="OF5" s="2"/>
      <c r="OG5" s="2"/>
      <c r="OH5" s="2"/>
      <c r="OI5" s="2"/>
      <c r="OJ5" s="2"/>
      <c r="OK5" s="2"/>
      <c r="OL5" s="2"/>
      <c r="OM5" s="2"/>
      <c r="ON5" s="2"/>
      <c r="OO5" s="2"/>
      <c r="OP5" s="2"/>
      <c r="OQ5" s="2"/>
      <c r="OR5" s="2"/>
      <c r="OS5" s="2"/>
      <c r="OT5" s="2"/>
      <c r="OU5" s="2"/>
      <c r="OV5" s="2"/>
      <c r="OW5" s="2"/>
      <c r="OX5" s="2"/>
      <c r="OY5" s="2"/>
      <c r="OZ5" s="2"/>
      <c r="PA5" s="2"/>
      <c r="PB5" s="2"/>
      <c r="PC5" s="2"/>
      <c r="PD5" s="2"/>
      <c r="PE5" s="2"/>
      <c r="PF5" s="2"/>
      <c r="PG5" s="2"/>
      <c r="PH5" s="2"/>
      <c r="PI5" s="2"/>
      <c r="PJ5" s="2"/>
      <c r="PK5" s="2"/>
      <c r="PL5" s="2"/>
      <c r="PM5" s="2"/>
      <c r="PN5" s="2"/>
      <c r="PO5" s="2"/>
      <c r="PP5" s="2"/>
      <c r="PQ5" s="2"/>
      <c r="PR5" s="2"/>
      <c r="PS5" s="2"/>
      <c r="PT5" s="2"/>
      <c r="PU5" s="2"/>
      <c r="PV5" s="2"/>
      <c r="PW5" s="2"/>
      <c r="PX5" s="2"/>
      <c r="PY5" s="2"/>
      <c r="PZ5" s="2"/>
      <c r="QA5" s="2"/>
      <c r="QB5" s="2"/>
      <c r="QC5" s="2"/>
      <c r="QD5" s="2"/>
      <c r="QE5" s="2"/>
      <c r="QF5" s="2"/>
      <c r="QG5" s="2"/>
      <c r="QH5" s="2"/>
      <c r="QI5" s="2"/>
      <c r="QJ5" s="2"/>
      <c r="QK5" s="2"/>
      <c r="QL5" s="2"/>
      <c r="QM5" s="2"/>
      <c r="QN5" s="2"/>
      <c r="QO5" s="2"/>
      <c r="QP5" s="2"/>
      <c r="QQ5" s="2"/>
      <c r="QR5" s="2"/>
      <c r="QS5" s="2"/>
      <c r="QT5" s="2"/>
      <c r="QU5" s="2"/>
      <c r="QV5" s="2"/>
      <c r="QW5" s="2"/>
      <c r="QX5" s="2"/>
      <c r="QY5" s="2"/>
      <c r="QZ5" s="2"/>
      <c r="RA5" s="2"/>
      <c r="RB5" s="2"/>
      <c r="RC5" s="2"/>
      <c r="RD5" s="2"/>
      <c r="RE5" s="2"/>
      <c r="RF5" s="2"/>
      <c r="RG5" s="2"/>
      <c r="RH5" s="2"/>
      <c r="RI5" s="2"/>
      <c r="RJ5" s="2"/>
      <c r="RK5" s="2"/>
      <c r="RL5" s="2"/>
      <c r="RM5" s="2"/>
      <c r="RN5" s="2"/>
      <c r="RO5" s="2"/>
      <c r="RP5" s="2"/>
      <c r="RQ5" s="2"/>
      <c r="RR5" s="2"/>
      <c r="RS5" s="2"/>
      <c r="RT5" s="2"/>
      <c r="RU5" s="2"/>
      <c r="RV5" s="2"/>
      <c r="RW5" s="2"/>
      <c r="RX5" s="2"/>
      <c r="RY5" s="2"/>
      <c r="RZ5" s="2"/>
      <c r="SA5" s="2"/>
      <c r="SB5" s="2"/>
      <c r="SC5" s="2"/>
      <c r="SD5" s="2"/>
      <c r="SE5" s="2"/>
      <c r="SF5" s="2"/>
      <c r="SG5" s="2"/>
      <c r="SH5" s="2"/>
      <c r="SI5" s="2"/>
      <c r="SJ5" s="2"/>
      <c r="SK5" s="2"/>
      <c r="SL5" s="2"/>
      <c r="SM5" s="2"/>
      <c r="SN5" s="2"/>
      <c r="SO5" s="2"/>
      <c r="SP5" s="2"/>
      <c r="SQ5" s="2"/>
      <c r="SR5" s="2"/>
      <c r="SS5" s="2"/>
      <c r="ST5" s="2"/>
      <c r="SU5" s="2"/>
      <c r="SV5" s="2"/>
      <c r="SW5" s="2"/>
      <c r="SX5" s="2"/>
      <c r="SY5" s="2"/>
      <c r="SZ5" s="2"/>
      <c r="TA5" s="2"/>
      <c r="TB5" s="2"/>
      <c r="TC5" s="2"/>
      <c r="TD5" s="2"/>
      <c r="TE5" s="2"/>
      <c r="TF5" s="2"/>
      <c r="TG5" s="2"/>
      <c r="TH5" s="2"/>
      <c r="TI5" s="2"/>
      <c r="TJ5" s="2"/>
      <c r="TK5" s="2"/>
      <c r="TL5" s="2"/>
      <c r="TM5" s="2"/>
      <c r="TN5" s="2"/>
      <c r="TO5" s="2"/>
      <c r="TP5" s="2"/>
      <c r="TQ5" s="2"/>
      <c r="TR5" s="2"/>
      <c r="TS5" s="2"/>
      <c r="TT5" s="2"/>
      <c r="TU5" s="2"/>
      <c r="TV5" s="2"/>
      <c r="TW5" s="2"/>
      <c r="TX5" s="2"/>
      <c r="TY5" s="2"/>
      <c r="TZ5" s="2"/>
      <c r="UA5" s="2"/>
      <c r="UB5" s="2"/>
      <c r="UC5" s="2"/>
      <c r="UD5" s="2"/>
      <c r="UE5" s="2"/>
      <c r="UF5" s="2"/>
      <c r="UG5" s="2"/>
      <c r="UH5" s="2"/>
      <c r="UI5" s="2"/>
      <c r="UJ5" s="2"/>
      <c r="UK5" s="2"/>
      <c r="UL5" s="2"/>
      <c r="UM5" s="2"/>
      <c r="UN5" s="2"/>
      <c r="UO5" s="2"/>
      <c r="UP5" s="2"/>
      <c r="UQ5" s="2"/>
      <c r="UR5" s="2"/>
      <c r="US5" s="2"/>
      <c r="UT5" s="2"/>
      <c r="UU5" s="2"/>
      <c r="UV5" s="2"/>
      <c r="UW5" s="2"/>
      <c r="UX5" s="2"/>
      <c r="UY5" s="2"/>
      <c r="UZ5" s="2"/>
      <c r="VA5" s="2"/>
      <c r="VB5" s="2"/>
      <c r="VC5" s="2"/>
      <c r="VD5" s="2"/>
      <c r="VE5" s="2"/>
      <c r="VF5" s="2"/>
      <c r="VG5" s="2"/>
      <c r="VH5" s="2"/>
      <c r="VI5" s="2"/>
      <c r="VJ5" s="2"/>
      <c r="VK5" s="2"/>
      <c r="VL5" s="2"/>
      <c r="VM5" s="2"/>
      <c r="VN5" s="2"/>
      <c r="VO5" s="2"/>
      <c r="VP5" s="2"/>
      <c r="VQ5" s="2"/>
      <c r="VR5" s="2"/>
      <c r="VS5" s="2"/>
      <c r="VT5" s="2"/>
      <c r="VU5" s="2"/>
      <c r="VV5" s="2"/>
      <c r="VW5" s="2"/>
      <c r="VX5" s="2"/>
      <c r="VY5" s="2"/>
      <c r="VZ5" s="2"/>
      <c r="WA5" s="2"/>
      <c r="WB5" s="2"/>
      <c r="WC5" s="2"/>
      <c r="WD5" s="2"/>
      <c r="WE5" s="2"/>
      <c r="WF5" s="2"/>
      <c r="WG5" s="2"/>
      <c r="WH5" s="2"/>
      <c r="WI5" s="2"/>
      <c r="WJ5" s="2"/>
      <c r="WK5" s="2"/>
      <c r="WL5" s="2"/>
      <c r="WM5" s="2"/>
      <c r="WN5" s="2"/>
      <c r="WO5" s="2"/>
      <c r="WP5" s="2"/>
      <c r="WQ5" s="2"/>
      <c r="WR5" s="2"/>
      <c r="WS5" s="2"/>
      <c r="WT5" s="2"/>
      <c r="WU5" s="2"/>
      <c r="WV5" s="2"/>
      <c r="WW5" s="2"/>
      <c r="WX5" s="2"/>
      <c r="WY5" s="2"/>
      <c r="WZ5" s="2"/>
      <c r="XA5" s="2"/>
      <c r="XB5" s="2"/>
      <c r="XC5" s="2"/>
      <c r="XD5" s="2"/>
      <c r="XE5" s="2"/>
      <c r="XF5" s="2"/>
      <c r="XG5" s="2"/>
      <c r="XH5" s="2"/>
      <c r="XI5" s="2"/>
      <c r="XJ5" s="2"/>
      <c r="XK5" s="2"/>
      <c r="XL5" s="2"/>
      <c r="XM5" s="2"/>
      <c r="XN5" s="2"/>
      <c r="XO5" s="2"/>
      <c r="XP5" s="2"/>
      <c r="XQ5" s="2"/>
      <c r="XR5" s="2"/>
      <c r="XS5" s="2"/>
      <c r="XT5" s="2"/>
      <c r="XU5" s="2"/>
      <c r="XV5" s="2"/>
      <c r="XW5" s="2"/>
      <c r="XX5" s="2"/>
      <c r="XY5" s="2"/>
      <c r="XZ5" s="2"/>
      <c r="YA5" s="2"/>
      <c r="YB5" s="2"/>
      <c r="YC5" s="2"/>
      <c r="YD5" s="2"/>
      <c r="YE5" s="2"/>
      <c r="YF5" s="2"/>
      <c r="YG5" s="2"/>
      <c r="YH5" s="2"/>
      <c r="YI5" s="2"/>
      <c r="YJ5" s="2"/>
      <c r="YK5" s="2"/>
      <c r="YL5" s="2"/>
      <c r="YM5" s="2"/>
      <c r="YN5" s="2"/>
      <c r="YO5" s="2"/>
      <c r="YP5" s="2"/>
      <c r="YQ5" s="2"/>
      <c r="YR5" s="2"/>
      <c r="YS5" s="2"/>
      <c r="YT5" s="2"/>
      <c r="YU5" s="2"/>
      <c r="YV5" s="2"/>
      <c r="YW5" s="2"/>
      <c r="YX5" s="2"/>
      <c r="YY5" s="2"/>
      <c r="YZ5" s="2"/>
      <c r="ZA5" s="2"/>
      <c r="ZB5" s="2"/>
      <c r="ZC5" s="2"/>
      <c r="ZD5" s="2"/>
      <c r="ZE5" s="2"/>
      <c r="ZF5" s="2"/>
      <c r="ZG5" s="2"/>
      <c r="ZH5" s="2"/>
      <c r="ZI5" s="2"/>
      <c r="ZJ5" s="2"/>
      <c r="ZK5" s="2"/>
      <c r="ZL5" s="2"/>
      <c r="ZM5" s="2"/>
      <c r="ZN5" s="2"/>
      <c r="ZO5" s="2"/>
      <c r="ZP5" s="2"/>
      <c r="ZQ5" s="2"/>
      <c r="ZR5" s="2"/>
      <c r="ZS5" s="2"/>
      <c r="ZT5" s="2"/>
      <c r="ZU5" s="2"/>
      <c r="ZV5" s="2"/>
      <c r="ZW5" s="2"/>
      <c r="ZX5" s="2"/>
      <c r="ZY5" s="2"/>
      <c r="ZZ5" s="2"/>
      <c r="AAA5" s="2"/>
      <c r="AAB5" s="2"/>
      <c r="AAC5" s="2"/>
      <c r="AAD5" s="2"/>
      <c r="AAE5" s="2"/>
      <c r="AAF5" s="2"/>
      <c r="AAG5" s="2"/>
      <c r="AAH5" s="2"/>
      <c r="AAI5" s="2"/>
      <c r="AAJ5" s="2"/>
      <c r="AAK5" s="2"/>
      <c r="AAL5" s="2"/>
      <c r="AAM5" s="2"/>
      <c r="AAN5" s="2"/>
      <c r="AAO5" s="2"/>
      <c r="AAP5" s="2"/>
      <c r="AAQ5" s="2"/>
      <c r="AAR5" s="2"/>
      <c r="AAS5" s="2"/>
      <c r="AAT5" s="2"/>
      <c r="AAU5" s="2"/>
      <c r="AAV5" s="2"/>
      <c r="AAW5" s="2"/>
      <c r="AAX5" s="2"/>
      <c r="AAY5" s="2"/>
      <c r="AAZ5" s="2"/>
      <c r="ABA5" s="2"/>
      <c r="ABB5" s="2"/>
      <c r="ABC5" s="2"/>
      <c r="ABD5" s="2"/>
      <c r="ABE5" s="2"/>
      <c r="ABF5" s="2"/>
      <c r="ABG5" s="2"/>
      <c r="ABH5" s="2"/>
      <c r="ABI5" s="2"/>
      <c r="ABJ5" s="2"/>
      <c r="ABK5" s="2"/>
      <c r="ABL5" s="2"/>
      <c r="ABM5" s="2"/>
      <c r="ABN5" s="2"/>
      <c r="ABO5" s="2"/>
      <c r="ABP5" s="2"/>
      <c r="ABQ5" s="2"/>
      <c r="ABR5" s="2"/>
      <c r="ABS5" s="2"/>
      <c r="ABT5" s="2"/>
      <c r="ABU5" s="2"/>
      <c r="ABV5" s="2"/>
      <c r="ABW5" s="2"/>
      <c r="ABX5" s="2"/>
      <c r="ABY5" s="2"/>
      <c r="ABZ5" s="2"/>
      <c r="ACA5" s="2"/>
      <c r="ACB5" s="2"/>
      <c r="ACC5" s="2"/>
      <c r="ACD5" s="2"/>
      <c r="ACE5" s="2"/>
      <c r="ACF5" s="2"/>
      <c r="ACG5" s="2"/>
      <c r="ACH5" s="2"/>
      <c r="ACI5" s="2"/>
      <c r="ACJ5" s="2"/>
      <c r="ACK5" s="2"/>
      <c r="ACL5" s="2"/>
      <c r="ACM5" s="2"/>
      <c r="ACN5" s="2"/>
      <c r="ACO5" s="2"/>
      <c r="ACP5" s="2"/>
      <c r="ACQ5" s="2"/>
      <c r="ACR5" s="2"/>
      <c r="ACS5" s="2"/>
      <c r="ACT5" s="2"/>
      <c r="ACU5" s="2"/>
      <c r="ACV5" s="2"/>
      <c r="ACW5" s="2"/>
      <c r="ACX5" s="2"/>
      <c r="ACY5" s="2"/>
      <c r="ACZ5" s="2"/>
      <c r="ADA5" s="2"/>
      <c r="ADB5" s="2"/>
      <c r="ADC5" s="2"/>
      <c r="ADD5" s="2"/>
      <c r="ADE5" s="2"/>
      <c r="ADF5" s="2"/>
      <c r="ADG5" s="2"/>
      <c r="ADH5" s="2"/>
      <c r="ADI5" s="2"/>
      <c r="ADJ5" s="2"/>
      <c r="ADK5" s="2"/>
      <c r="ADL5" s="2"/>
      <c r="ADM5" s="2"/>
      <c r="ADN5" s="2"/>
      <c r="ADO5" s="2"/>
      <c r="ADP5" s="2"/>
      <c r="ADQ5" s="2"/>
      <c r="ADR5" s="2"/>
      <c r="ADS5" s="2"/>
      <c r="ADT5" s="2"/>
      <c r="ADU5" s="2"/>
      <c r="ADV5" s="2"/>
      <c r="ADW5" s="2"/>
      <c r="ADX5" s="2"/>
      <c r="ADY5" s="2"/>
      <c r="ADZ5" s="2"/>
      <c r="AEA5" s="2"/>
      <c r="AEB5" s="2"/>
      <c r="AEC5" s="2"/>
      <c r="AED5" s="2"/>
      <c r="AEE5" s="2"/>
      <c r="AEF5" s="2"/>
      <c r="AEG5" s="2"/>
      <c r="AEH5" s="2"/>
      <c r="AEI5" s="2"/>
      <c r="AEJ5" s="2"/>
      <c r="AEK5" s="2"/>
      <c r="AEL5" s="2"/>
      <c r="AEM5" s="2"/>
      <c r="AEN5" s="2"/>
      <c r="AEO5" s="2"/>
      <c r="AEP5" s="2"/>
      <c r="AEQ5" s="2"/>
      <c r="AER5" s="2"/>
      <c r="AES5" s="2"/>
      <c r="AET5" s="2"/>
      <c r="AEU5" s="2"/>
      <c r="AEV5" s="2"/>
      <c r="AEW5" s="2"/>
      <c r="AEX5" s="2"/>
      <c r="AEY5" s="2"/>
      <c r="AEZ5" s="2"/>
      <c r="AFA5" s="2"/>
      <c r="AFB5" s="2"/>
      <c r="AFC5" s="2"/>
      <c r="AFD5" s="2"/>
      <c r="AFE5" s="2"/>
      <c r="AFF5" s="2"/>
      <c r="AFG5" s="2"/>
      <c r="AFH5" s="2"/>
      <c r="AFI5" s="2"/>
      <c r="AFJ5" s="2"/>
      <c r="AFK5" s="2"/>
      <c r="AFL5" s="2"/>
      <c r="AFM5" s="2"/>
      <c r="AFN5" s="2"/>
      <c r="AFO5" s="2"/>
      <c r="AFP5" s="2"/>
      <c r="AFQ5" s="2"/>
      <c r="AFR5" s="2"/>
      <c r="AFS5" s="2"/>
      <c r="AFT5" s="2"/>
      <c r="AFU5" s="2"/>
      <c r="AFV5" s="2"/>
      <c r="AFW5" s="2"/>
      <c r="AFX5" s="2"/>
      <c r="AFY5" s="2"/>
      <c r="AFZ5" s="2"/>
      <c r="AGA5" s="2"/>
      <c r="AGB5" s="2"/>
      <c r="AGC5" s="2"/>
      <c r="AGD5" s="2"/>
      <c r="AGE5" s="2"/>
      <c r="AGF5" s="2"/>
      <c r="AGG5" s="2"/>
      <c r="AGH5" s="2"/>
      <c r="AGI5" s="2"/>
      <c r="AGJ5" s="2"/>
      <c r="AGK5" s="2"/>
      <c r="AGL5" s="2"/>
      <c r="AGM5" s="2"/>
      <c r="AGN5" s="2"/>
      <c r="AGO5" s="2"/>
      <c r="AGP5" s="2"/>
      <c r="AGQ5" s="2"/>
      <c r="AGR5" s="2"/>
      <c r="AGS5" s="2"/>
      <c r="AGT5" s="2"/>
      <c r="AGU5" s="2"/>
      <c r="AGV5" s="2"/>
      <c r="AGW5" s="2"/>
      <c r="AGX5" s="2"/>
      <c r="AGY5" s="2"/>
      <c r="AGZ5" s="2"/>
      <c r="AHA5" s="2"/>
      <c r="AHB5" s="2"/>
      <c r="AHC5" s="2"/>
      <c r="AHD5" s="2"/>
      <c r="AHE5" s="2"/>
      <c r="AHF5" s="2"/>
      <c r="AHG5" s="2"/>
      <c r="AHH5" s="2"/>
      <c r="AHI5" s="2"/>
      <c r="AHJ5" s="2"/>
      <c r="AHK5" s="2"/>
      <c r="AHL5" s="2"/>
      <c r="AHM5" s="2"/>
      <c r="AHN5" s="2"/>
      <c r="AHO5" s="2"/>
      <c r="AHP5" s="2"/>
      <c r="AHQ5" s="2"/>
      <c r="AHR5" s="2"/>
      <c r="AHS5" s="2"/>
      <c r="AHT5" s="2"/>
      <c r="AHU5" s="2"/>
      <c r="AHV5" s="2"/>
      <c r="AHW5" s="2"/>
      <c r="AHX5" s="2"/>
      <c r="AHY5" s="2"/>
      <c r="AHZ5" s="2"/>
      <c r="AIA5" s="2"/>
      <c r="AIB5" s="2"/>
      <c r="AIC5" s="2"/>
      <c r="AID5" s="2"/>
      <c r="AIE5" s="2"/>
      <c r="AIF5" s="2"/>
      <c r="AIG5" s="2"/>
      <c r="AIH5" s="2"/>
      <c r="AII5" s="2"/>
      <c r="AIJ5" s="2"/>
      <c r="AIK5" s="2"/>
      <c r="AIL5" s="2"/>
      <c r="AIM5" s="2"/>
      <c r="AIN5" s="2"/>
      <c r="AIO5" s="2"/>
      <c r="AIP5" s="2"/>
      <c r="AIQ5" s="2"/>
      <c r="AIR5" s="2"/>
      <c r="AIS5" s="2"/>
      <c r="AIT5" s="2"/>
      <c r="AIU5" s="2"/>
      <c r="AIV5" s="2"/>
      <c r="AIW5" s="2"/>
      <c r="AIX5" s="2"/>
      <c r="AIY5" s="2"/>
      <c r="AIZ5" s="2"/>
      <c r="AJA5" s="2"/>
      <c r="AJB5" s="2"/>
      <c r="AJC5" s="2"/>
      <c r="AJD5" s="2"/>
      <c r="AJE5" s="2"/>
      <c r="AJF5" s="2"/>
      <c r="AJG5" s="2"/>
      <c r="AJH5" s="2"/>
      <c r="AJI5" s="2"/>
      <c r="AJJ5" s="2"/>
      <c r="AJK5" s="2"/>
      <c r="AJL5" s="2"/>
      <c r="AJM5" s="2"/>
      <c r="AJN5" s="2"/>
      <c r="AJO5" s="2"/>
      <c r="AJP5" s="2"/>
      <c r="AJQ5" s="2"/>
      <c r="AJR5" s="2"/>
      <c r="AJS5" s="2"/>
      <c r="AJT5" s="2"/>
      <c r="AJU5" s="2"/>
      <c r="AJV5" s="2"/>
      <c r="AJW5" s="2"/>
      <c r="AJX5" s="2"/>
      <c r="AJY5" s="2"/>
      <c r="AJZ5" s="2"/>
    </row>
    <row r="6" spans="1:962">
      <c r="A6" s="16">
        <v>5</v>
      </c>
      <c r="B6" s="16">
        <v>2</v>
      </c>
      <c r="C6" s="16">
        <v>11.29</v>
      </c>
      <c r="D6" s="9">
        <v>6.58</v>
      </c>
      <c r="E6" s="9">
        <v>4.1100000000000003</v>
      </c>
      <c r="F6" s="9">
        <v>0.19</v>
      </c>
      <c r="G6" s="16">
        <v>311</v>
      </c>
      <c r="H6" s="17">
        <v>2</v>
      </c>
      <c r="I6" s="9">
        <f t="shared" si="0"/>
        <v>1.6009732360097322</v>
      </c>
      <c r="J6" s="9">
        <f t="shared" si="1"/>
        <v>4.6228710462287104E-2</v>
      </c>
      <c r="K6" s="9">
        <f t="shared" si="2"/>
        <v>75.669099756690997</v>
      </c>
      <c r="L6" s="9">
        <f t="shared" si="3"/>
        <v>497.90267639902675</v>
      </c>
      <c r="M6" s="16">
        <v>14</v>
      </c>
      <c r="N6" s="16" t="s">
        <v>30</v>
      </c>
      <c r="O6" s="9">
        <v>5.2</v>
      </c>
      <c r="P6" s="9">
        <v>11.29</v>
      </c>
      <c r="Q6" s="9">
        <v>6.58</v>
      </c>
      <c r="R6" s="9">
        <v>4.1100000000000003</v>
      </c>
      <c r="S6" s="9">
        <v>0.19</v>
      </c>
      <c r="T6" s="9">
        <v>0.4</v>
      </c>
      <c r="U6" s="9">
        <v>0</v>
      </c>
      <c r="V6" s="9">
        <v>0</v>
      </c>
      <c r="W6" s="18">
        <v>10.81</v>
      </c>
      <c r="X6" s="19">
        <v>146</v>
      </c>
      <c r="Y6" s="16">
        <v>0.46</v>
      </c>
      <c r="Z6" s="16">
        <v>311</v>
      </c>
      <c r="AA6" s="16">
        <v>0.3</v>
      </c>
      <c r="AB6" s="16">
        <v>3.5000000000000003E-2</v>
      </c>
      <c r="AC6" s="16">
        <v>159.4</v>
      </c>
      <c r="AD6" s="16">
        <v>5.05</v>
      </c>
      <c r="AE6" s="16">
        <v>125.7</v>
      </c>
      <c r="AF6" s="16">
        <v>2.6</v>
      </c>
      <c r="AG6" s="16">
        <v>1.3</v>
      </c>
      <c r="AH6" s="16">
        <v>15.26</v>
      </c>
      <c r="AI6" s="16">
        <v>224.93</v>
      </c>
      <c r="AJ6" s="16">
        <v>20.9</v>
      </c>
      <c r="AK6" s="16">
        <v>51.3</v>
      </c>
      <c r="AL6" s="16">
        <v>79.010000000000005</v>
      </c>
      <c r="AM6" s="16">
        <v>31.3</v>
      </c>
      <c r="AN6" s="16">
        <v>1.02</v>
      </c>
      <c r="AO6" s="16">
        <v>0.255</v>
      </c>
      <c r="AP6" s="16">
        <v>17</v>
      </c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  <c r="JC6" s="2"/>
      <c r="JD6" s="2"/>
      <c r="JE6" s="2"/>
      <c r="JF6" s="2"/>
      <c r="JG6" s="2"/>
      <c r="JH6" s="2"/>
      <c r="JI6" s="2"/>
      <c r="JJ6" s="2"/>
      <c r="JK6" s="2"/>
      <c r="JL6" s="2"/>
      <c r="JM6" s="2"/>
      <c r="JN6" s="2"/>
      <c r="JO6" s="2"/>
      <c r="JP6" s="2"/>
      <c r="JQ6" s="2"/>
      <c r="JR6" s="2"/>
      <c r="JS6" s="2"/>
      <c r="JT6" s="2"/>
      <c r="JU6" s="2"/>
      <c r="JV6" s="2"/>
      <c r="JW6" s="2"/>
      <c r="JX6" s="2"/>
      <c r="JY6" s="2"/>
      <c r="JZ6" s="2"/>
      <c r="KA6" s="2"/>
      <c r="KB6" s="2"/>
      <c r="KC6" s="2"/>
      <c r="KD6" s="2"/>
      <c r="KE6" s="2"/>
      <c r="KF6" s="2"/>
      <c r="KG6" s="2"/>
      <c r="KH6" s="2"/>
      <c r="KI6" s="2"/>
      <c r="KJ6" s="2"/>
      <c r="KK6" s="2"/>
      <c r="KL6" s="2"/>
      <c r="KM6" s="2"/>
      <c r="KN6" s="2"/>
      <c r="KO6" s="2"/>
      <c r="KP6" s="2"/>
      <c r="KQ6" s="2"/>
      <c r="KR6" s="2"/>
      <c r="KS6" s="2"/>
      <c r="KT6" s="2"/>
      <c r="KU6" s="2"/>
      <c r="KV6" s="2"/>
      <c r="KW6" s="2"/>
      <c r="KX6" s="2"/>
      <c r="KY6" s="2"/>
      <c r="KZ6" s="2"/>
      <c r="LA6" s="2"/>
      <c r="LB6" s="2"/>
      <c r="LC6" s="2"/>
      <c r="LD6" s="2"/>
      <c r="LE6" s="2"/>
      <c r="LF6" s="2"/>
      <c r="LG6" s="2"/>
      <c r="LH6" s="2"/>
      <c r="LI6" s="2"/>
      <c r="LJ6" s="2"/>
      <c r="LK6" s="2"/>
      <c r="LL6" s="2"/>
      <c r="LM6" s="2"/>
      <c r="LN6" s="2"/>
      <c r="LO6" s="2"/>
      <c r="LP6" s="2"/>
      <c r="LQ6" s="2"/>
      <c r="LR6" s="2"/>
      <c r="LS6" s="2"/>
      <c r="LT6" s="2"/>
      <c r="LU6" s="2"/>
      <c r="LV6" s="2"/>
      <c r="LW6" s="2"/>
      <c r="LX6" s="2"/>
      <c r="LY6" s="2"/>
      <c r="LZ6" s="2"/>
      <c r="MA6" s="2"/>
      <c r="MB6" s="2"/>
      <c r="MC6" s="2"/>
      <c r="MD6" s="2"/>
      <c r="ME6" s="2"/>
      <c r="MF6" s="2"/>
      <c r="MG6" s="2"/>
      <c r="MH6" s="2"/>
      <c r="MI6" s="2"/>
      <c r="MJ6" s="2"/>
      <c r="MK6" s="2"/>
      <c r="ML6" s="2"/>
      <c r="MM6" s="2"/>
      <c r="MN6" s="2"/>
      <c r="MO6" s="2"/>
      <c r="MP6" s="2"/>
      <c r="MQ6" s="2"/>
      <c r="MR6" s="2"/>
      <c r="MS6" s="2"/>
      <c r="MT6" s="2"/>
      <c r="MU6" s="2"/>
      <c r="MV6" s="2"/>
      <c r="MW6" s="2"/>
      <c r="MX6" s="2"/>
      <c r="MY6" s="2"/>
      <c r="MZ6" s="2"/>
      <c r="NA6" s="2"/>
      <c r="NB6" s="2"/>
      <c r="NC6" s="2"/>
      <c r="ND6" s="2"/>
      <c r="NE6" s="2"/>
      <c r="NF6" s="2"/>
      <c r="NG6" s="2"/>
      <c r="NH6" s="2"/>
      <c r="NI6" s="2"/>
      <c r="NJ6" s="2"/>
      <c r="NK6" s="2"/>
      <c r="NL6" s="2"/>
      <c r="NM6" s="2"/>
      <c r="NN6" s="2"/>
      <c r="NO6" s="2"/>
      <c r="NP6" s="2"/>
      <c r="NQ6" s="2"/>
      <c r="NR6" s="2"/>
      <c r="NS6" s="2"/>
      <c r="NT6" s="2"/>
      <c r="NU6" s="2"/>
      <c r="NV6" s="2"/>
      <c r="NW6" s="2"/>
      <c r="NX6" s="2"/>
      <c r="NY6" s="2"/>
      <c r="NZ6" s="2"/>
      <c r="OA6" s="2"/>
      <c r="OB6" s="2"/>
      <c r="OC6" s="2"/>
      <c r="OD6" s="2"/>
      <c r="OE6" s="2"/>
      <c r="OF6" s="2"/>
      <c r="OG6" s="2"/>
      <c r="OH6" s="2"/>
      <c r="OI6" s="2"/>
      <c r="OJ6" s="2"/>
      <c r="OK6" s="2"/>
      <c r="OL6" s="2"/>
      <c r="OM6" s="2"/>
      <c r="ON6" s="2"/>
      <c r="OO6" s="2"/>
      <c r="OP6" s="2"/>
      <c r="OQ6" s="2"/>
      <c r="OR6" s="2"/>
      <c r="OS6" s="2"/>
      <c r="OT6" s="2"/>
      <c r="OU6" s="2"/>
      <c r="OV6" s="2"/>
      <c r="OW6" s="2"/>
      <c r="OX6" s="2"/>
      <c r="OY6" s="2"/>
      <c r="OZ6" s="2"/>
      <c r="PA6" s="2"/>
      <c r="PB6" s="2"/>
      <c r="PC6" s="2"/>
      <c r="PD6" s="2"/>
      <c r="PE6" s="2"/>
      <c r="PF6" s="2"/>
      <c r="PG6" s="2"/>
      <c r="PH6" s="2"/>
      <c r="PI6" s="2"/>
      <c r="PJ6" s="2"/>
      <c r="PK6" s="2"/>
      <c r="PL6" s="2"/>
      <c r="PM6" s="2"/>
      <c r="PN6" s="2"/>
      <c r="PO6" s="2"/>
      <c r="PP6" s="2"/>
      <c r="PQ6" s="2"/>
      <c r="PR6" s="2"/>
      <c r="PS6" s="2"/>
      <c r="PT6" s="2"/>
      <c r="PU6" s="2"/>
      <c r="PV6" s="2"/>
      <c r="PW6" s="2"/>
      <c r="PX6" s="2"/>
      <c r="PY6" s="2"/>
      <c r="PZ6" s="2"/>
      <c r="QA6" s="2"/>
      <c r="QB6" s="2"/>
      <c r="QC6" s="2"/>
      <c r="QD6" s="2"/>
      <c r="QE6" s="2"/>
      <c r="QF6" s="2"/>
      <c r="QG6" s="2"/>
      <c r="QH6" s="2"/>
      <c r="QI6" s="2"/>
      <c r="QJ6" s="2"/>
      <c r="QK6" s="2"/>
      <c r="QL6" s="2"/>
      <c r="QM6" s="2"/>
      <c r="QN6" s="2"/>
      <c r="QO6" s="2"/>
      <c r="QP6" s="2"/>
      <c r="QQ6" s="2"/>
      <c r="QR6" s="2"/>
      <c r="QS6" s="2"/>
      <c r="QT6" s="2"/>
      <c r="QU6" s="2"/>
      <c r="QV6" s="2"/>
      <c r="QW6" s="2"/>
      <c r="QX6" s="2"/>
      <c r="QY6" s="2"/>
      <c r="QZ6" s="2"/>
      <c r="RA6" s="2"/>
      <c r="RB6" s="2"/>
      <c r="RC6" s="2"/>
      <c r="RD6" s="2"/>
      <c r="RE6" s="2"/>
      <c r="RF6" s="2"/>
      <c r="RG6" s="2"/>
      <c r="RH6" s="2"/>
      <c r="RI6" s="2"/>
      <c r="RJ6" s="2"/>
      <c r="RK6" s="2"/>
      <c r="RL6" s="2"/>
      <c r="RM6" s="2"/>
      <c r="RN6" s="2"/>
      <c r="RO6" s="2"/>
      <c r="RP6" s="2"/>
      <c r="RQ6" s="2"/>
      <c r="RR6" s="2"/>
      <c r="RS6" s="2"/>
      <c r="RT6" s="2"/>
      <c r="RU6" s="2"/>
      <c r="RV6" s="2"/>
      <c r="RW6" s="2"/>
      <c r="RX6" s="2"/>
      <c r="RY6" s="2"/>
      <c r="RZ6" s="2"/>
      <c r="SA6" s="2"/>
      <c r="SB6" s="2"/>
      <c r="SC6" s="2"/>
      <c r="SD6" s="2"/>
      <c r="SE6" s="2"/>
      <c r="SF6" s="2"/>
      <c r="SG6" s="2"/>
      <c r="SH6" s="2"/>
      <c r="SI6" s="2"/>
      <c r="SJ6" s="2"/>
      <c r="SK6" s="2"/>
      <c r="SL6" s="2"/>
      <c r="SM6" s="2"/>
      <c r="SN6" s="2"/>
      <c r="SO6" s="2"/>
      <c r="SP6" s="2"/>
      <c r="SQ6" s="2"/>
      <c r="SR6" s="2"/>
      <c r="SS6" s="2"/>
      <c r="ST6" s="2"/>
      <c r="SU6" s="2"/>
      <c r="SV6" s="2"/>
      <c r="SW6" s="2"/>
      <c r="SX6" s="2"/>
      <c r="SY6" s="2"/>
      <c r="SZ6" s="2"/>
      <c r="TA6" s="2"/>
      <c r="TB6" s="2"/>
      <c r="TC6" s="2"/>
      <c r="TD6" s="2"/>
      <c r="TE6" s="2"/>
      <c r="TF6" s="2"/>
      <c r="TG6" s="2"/>
      <c r="TH6" s="2"/>
      <c r="TI6" s="2"/>
      <c r="TJ6" s="2"/>
      <c r="TK6" s="2"/>
      <c r="TL6" s="2"/>
      <c r="TM6" s="2"/>
      <c r="TN6" s="2"/>
      <c r="TO6" s="2"/>
      <c r="TP6" s="2"/>
      <c r="TQ6" s="2"/>
      <c r="TR6" s="2"/>
      <c r="TS6" s="2"/>
      <c r="TT6" s="2"/>
      <c r="TU6" s="2"/>
      <c r="TV6" s="2"/>
      <c r="TW6" s="2"/>
      <c r="TX6" s="2"/>
      <c r="TY6" s="2"/>
      <c r="TZ6" s="2"/>
      <c r="UA6" s="2"/>
      <c r="UB6" s="2"/>
      <c r="UC6" s="2"/>
      <c r="UD6" s="2"/>
      <c r="UE6" s="2"/>
      <c r="UF6" s="2"/>
      <c r="UG6" s="2"/>
      <c r="UH6" s="2"/>
      <c r="UI6" s="2"/>
      <c r="UJ6" s="2"/>
      <c r="UK6" s="2"/>
      <c r="UL6" s="2"/>
      <c r="UM6" s="2"/>
      <c r="UN6" s="2"/>
      <c r="UO6" s="2"/>
      <c r="UP6" s="2"/>
      <c r="UQ6" s="2"/>
      <c r="UR6" s="2"/>
      <c r="US6" s="2"/>
      <c r="UT6" s="2"/>
      <c r="UU6" s="2"/>
      <c r="UV6" s="2"/>
      <c r="UW6" s="2"/>
      <c r="UX6" s="2"/>
      <c r="UY6" s="2"/>
      <c r="UZ6" s="2"/>
      <c r="VA6" s="2"/>
      <c r="VB6" s="2"/>
      <c r="VC6" s="2"/>
      <c r="VD6" s="2"/>
      <c r="VE6" s="2"/>
      <c r="VF6" s="2"/>
      <c r="VG6" s="2"/>
      <c r="VH6" s="2"/>
      <c r="VI6" s="2"/>
      <c r="VJ6" s="2"/>
      <c r="VK6" s="2"/>
      <c r="VL6" s="2"/>
      <c r="VM6" s="2"/>
      <c r="VN6" s="2"/>
      <c r="VO6" s="2"/>
      <c r="VP6" s="2"/>
      <c r="VQ6" s="2"/>
      <c r="VR6" s="2"/>
      <c r="VS6" s="2"/>
      <c r="VT6" s="2"/>
      <c r="VU6" s="2"/>
      <c r="VV6" s="2"/>
      <c r="VW6" s="2"/>
      <c r="VX6" s="2"/>
      <c r="VY6" s="2"/>
      <c r="VZ6" s="2"/>
      <c r="WA6" s="2"/>
      <c r="WB6" s="2"/>
      <c r="WC6" s="2"/>
      <c r="WD6" s="2"/>
      <c r="WE6" s="2"/>
      <c r="WF6" s="2"/>
      <c r="WG6" s="2"/>
      <c r="WH6" s="2"/>
      <c r="WI6" s="2"/>
      <c r="WJ6" s="2"/>
      <c r="WK6" s="2"/>
      <c r="WL6" s="2"/>
      <c r="WM6" s="2"/>
      <c r="WN6" s="2"/>
      <c r="WO6" s="2"/>
      <c r="WP6" s="2"/>
      <c r="WQ6" s="2"/>
      <c r="WR6" s="2"/>
      <c r="WS6" s="2"/>
      <c r="WT6" s="2"/>
      <c r="WU6" s="2"/>
      <c r="WV6" s="2"/>
      <c r="WW6" s="2"/>
      <c r="WX6" s="2"/>
      <c r="WY6" s="2"/>
      <c r="WZ6" s="2"/>
      <c r="XA6" s="2"/>
      <c r="XB6" s="2"/>
      <c r="XC6" s="2"/>
      <c r="XD6" s="2"/>
      <c r="XE6" s="2"/>
      <c r="XF6" s="2"/>
      <c r="XG6" s="2"/>
      <c r="XH6" s="2"/>
      <c r="XI6" s="2"/>
      <c r="XJ6" s="2"/>
      <c r="XK6" s="2"/>
      <c r="XL6" s="2"/>
      <c r="XM6" s="2"/>
      <c r="XN6" s="2"/>
      <c r="XO6" s="2"/>
      <c r="XP6" s="2"/>
      <c r="XQ6" s="2"/>
      <c r="XR6" s="2"/>
      <c r="XS6" s="2"/>
      <c r="XT6" s="2"/>
      <c r="XU6" s="2"/>
      <c r="XV6" s="2"/>
      <c r="XW6" s="2"/>
      <c r="XX6" s="2"/>
      <c r="XY6" s="2"/>
      <c r="XZ6" s="2"/>
      <c r="YA6" s="2"/>
      <c r="YB6" s="2"/>
      <c r="YC6" s="2"/>
      <c r="YD6" s="2"/>
      <c r="YE6" s="2"/>
      <c r="YF6" s="2"/>
      <c r="YG6" s="2"/>
      <c r="YH6" s="2"/>
      <c r="YI6" s="2"/>
      <c r="YJ6" s="2"/>
      <c r="YK6" s="2"/>
      <c r="YL6" s="2"/>
      <c r="YM6" s="2"/>
      <c r="YN6" s="2"/>
      <c r="YO6" s="2"/>
      <c r="YP6" s="2"/>
      <c r="YQ6" s="2"/>
      <c r="YR6" s="2"/>
      <c r="YS6" s="2"/>
      <c r="YT6" s="2"/>
      <c r="YU6" s="2"/>
      <c r="YV6" s="2"/>
      <c r="YW6" s="2"/>
      <c r="YX6" s="2"/>
      <c r="YY6" s="2"/>
      <c r="YZ6" s="2"/>
      <c r="ZA6" s="2"/>
      <c r="ZB6" s="2"/>
      <c r="ZC6" s="2"/>
      <c r="ZD6" s="2"/>
      <c r="ZE6" s="2"/>
      <c r="ZF6" s="2"/>
      <c r="ZG6" s="2"/>
      <c r="ZH6" s="2"/>
      <c r="ZI6" s="2"/>
      <c r="ZJ6" s="2"/>
      <c r="ZK6" s="2"/>
      <c r="ZL6" s="2"/>
      <c r="ZM6" s="2"/>
      <c r="ZN6" s="2"/>
      <c r="ZO6" s="2"/>
      <c r="ZP6" s="2"/>
      <c r="ZQ6" s="2"/>
      <c r="ZR6" s="2"/>
      <c r="ZS6" s="2"/>
      <c r="ZT6" s="2"/>
      <c r="ZU6" s="2"/>
      <c r="ZV6" s="2"/>
      <c r="ZW6" s="2"/>
      <c r="ZX6" s="2"/>
      <c r="ZY6" s="2"/>
      <c r="ZZ6" s="2"/>
      <c r="AAA6" s="2"/>
      <c r="AAB6" s="2"/>
      <c r="AAC6" s="2"/>
      <c r="AAD6" s="2"/>
      <c r="AAE6" s="2"/>
      <c r="AAF6" s="2"/>
      <c r="AAG6" s="2"/>
      <c r="AAH6" s="2"/>
      <c r="AAI6" s="2"/>
      <c r="AAJ6" s="2"/>
      <c r="AAK6" s="2"/>
      <c r="AAL6" s="2"/>
      <c r="AAM6" s="2"/>
      <c r="AAN6" s="2"/>
      <c r="AAO6" s="2"/>
      <c r="AAP6" s="2"/>
      <c r="AAQ6" s="2"/>
      <c r="AAR6" s="2"/>
      <c r="AAS6" s="2"/>
      <c r="AAT6" s="2"/>
      <c r="AAU6" s="2"/>
      <c r="AAV6" s="2"/>
      <c r="AAW6" s="2"/>
      <c r="AAX6" s="2"/>
      <c r="AAY6" s="2"/>
      <c r="AAZ6" s="2"/>
      <c r="ABA6" s="2"/>
      <c r="ABB6" s="2"/>
      <c r="ABC6" s="2"/>
      <c r="ABD6" s="2"/>
      <c r="ABE6" s="2"/>
      <c r="ABF6" s="2"/>
      <c r="ABG6" s="2"/>
      <c r="ABH6" s="2"/>
      <c r="ABI6" s="2"/>
      <c r="ABJ6" s="2"/>
      <c r="ABK6" s="2"/>
      <c r="ABL6" s="2"/>
      <c r="ABM6" s="2"/>
      <c r="ABN6" s="2"/>
      <c r="ABO6" s="2"/>
      <c r="ABP6" s="2"/>
      <c r="ABQ6" s="2"/>
      <c r="ABR6" s="2"/>
      <c r="ABS6" s="2"/>
      <c r="ABT6" s="2"/>
      <c r="ABU6" s="2"/>
      <c r="ABV6" s="2"/>
      <c r="ABW6" s="2"/>
      <c r="ABX6" s="2"/>
      <c r="ABY6" s="2"/>
      <c r="ABZ6" s="2"/>
      <c r="ACA6" s="2"/>
      <c r="ACB6" s="2"/>
      <c r="ACC6" s="2"/>
      <c r="ACD6" s="2"/>
      <c r="ACE6" s="2"/>
      <c r="ACF6" s="2"/>
      <c r="ACG6" s="2"/>
      <c r="ACH6" s="2"/>
      <c r="ACI6" s="2"/>
      <c r="ACJ6" s="2"/>
      <c r="ACK6" s="2"/>
      <c r="ACL6" s="2"/>
      <c r="ACM6" s="2"/>
      <c r="ACN6" s="2"/>
      <c r="ACO6" s="2"/>
      <c r="ACP6" s="2"/>
      <c r="ACQ6" s="2"/>
      <c r="ACR6" s="2"/>
      <c r="ACS6" s="2"/>
      <c r="ACT6" s="2"/>
      <c r="ACU6" s="2"/>
      <c r="ACV6" s="2"/>
      <c r="ACW6" s="2"/>
      <c r="ACX6" s="2"/>
      <c r="ACY6" s="2"/>
      <c r="ACZ6" s="2"/>
      <c r="ADA6" s="2"/>
      <c r="ADB6" s="2"/>
      <c r="ADC6" s="2"/>
      <c r="ADD6" s="2"/>
      <c r="ADE6" s="2"/>
      <c r="ADF6" s="2"/>
      <c r="ADG6" s="2"/>
      <c r="ADH6" s="2"/>
      <c r="ADI6" s="2"/>
      <c r="ADJ6" s="2"/>
      <c r="ADK6" s="2"/>
      <c r="ADL6" s="2"/>
      <c r="ADM6" s="2"/>
      <c r="ADN6" s="2"/>
      <c r="ADO6" s="2"/>
      <c r="ADP6" s="2"/>
      <c r="ADQ6" s="2"/>
      <c r="ADR6" s="2"/>
      <c r="ADS6" s="2"/>
      <c r="ADT6" s="2"/>
      <c r="ADU6" s="2"/>
      <c r="ADV6" s="2"/>
      <c r="ADW6" s="2"/>
      <c r="ADX6" s="2"/>
      <c r="ADY6" s="2"/>
      <c r="ADZ6" s="2"/>
      <c r="AEA6" s="2"/>
      <c r="AEB6" s="2"/>
      <c r="AEC6" s="2"/>
      <c r="AED6" s="2"/>
      <c r="AEE6" s="2"/>
      <c r="AEF6" s="2"/>
      <c r="AEG6" s="2"/>
      <c r="AEH6" s="2"/>
      <c r="AEI6" s="2"/>
      <c r="AEJ6" s="2"/>
      <c r="AEK6" s="2"/>
      <c r="AEL6" s="2"/>
      <c r="AEM6" s="2"/>
      <c r="AEN6" s="2"/>
      <c r="AEO6" s="2"/>
      <c r="AEP6" s="2"/>
      <c r="AEQ6" s="2"/>
      <c r="AER6" s="2"/>
      <c r="AES6" s="2"/>
      <c r="AET6" s="2"/>
      <c r="AEU6" s="2"/>
      <c r="AEV6" s="2"/>
      <c r="AEW6" s="2"/>
      <c r="AEX6" s="2"/>
      <c r="AEY6" s="2"/>
      <c r="AEZ6" s="2"/>
      <c r="AFA6" s="2"/>
      <c r="AFB6" s="2"/>
      <c r="AFC6" s="2"/>
      <c r="AFD6" s="2"/>
      <c r="AFE6" s="2"/>
      <c r="AFF6" s="2"/>
      <c r="AFG6" s="2"/>
      <c r="AFH6" s="2"/>
      <c r="AFI6" s="2"/>
      <c r="AFJ6" s="2"/>
      <c r="AFK6" s="2"/>
      <c r="AFL6" s="2"/>
      <c r="AFM6" s="2"/>
      <c r="AFN6" s="2"/>
      <c r="AFO6" s="2"/>
      <c r="AFP6" s="2"/>
      <c r="AFQ6" s="2"/>
      <c r="AFR6" s="2"/>
      <c r="AFS6" s="2"/>
      <c r="AFT6" s="2"/>
      <c r="AFU6" s="2"/>
      <c r="AFV6" s="2"/>
      <c r="AFW6" s="2"/>
      <c r="AFX6" s="2"/>
      <c r="AFY6" s="2"/>
      <c r="AFZ6" s="2"/>
      <c r="AGA6" s="2"/>
      <c r="AGB6" s="2"/>
      <c r="AGC6" s="2"/>
      <c r="AGD6" s="2"/>
      <c r="AGE6" s="2"/>
      <c r="AGF6" s="2"/>
      <c r="AGG6" s="2"/>
      <c r="AGH6" s="2"/>
      <c r="AGI6" s="2"/>
      <c r="AGJ6" s="2"/>
      <c r="AGK6" s="2"/>
      <c r="AGL6" s="2"/>
      <c r="AGM6" s="2"/>
      <c r="AGN6" s="2"/>
      <c r="AGO6" s="2"/>
      <c r="AGP6" s="2"/>
      <c r="AGQ6" s="2"/>
      <c r="AGR6" s="2"/>
      <c r="AGS6" s="2"/>
      <c r="AGT6" s="2"/>
      <c r="AGU6" s="2"/>
      <c r="AGV6" s="2"/>
      <c r="AGW6" s="2"/>
      <c r="AGX6" s="2"/>
      <c r="AGY6" s="2"/>
      <c r="AGZ6" s="2"/>
      <c r="AHA6" s="2"/>
      <c r="AHB6" s="2"/>
      <c r="AHC6" s="2"/>
      <c r="AHD6" s="2"/>
      <c r="AHE6" s="2"/>
      <c r="AHF6" s="2"/>
      <c r="AHG6" s="2"/>
      <c r="AHH6" s="2"/>
      <c r="AHI6" s="2"/>
      <c r="AHJ6" s="2"/>
      <c r="AHK6" s="2"/>
      <c r="AHL6" s="2"/>
      <c r="AHM6" s="2"/>
      <c r="AHN6" s="2"/>
      <c r="AHO6" s="2"/>
      <c r="AHP6" s="2"/>
      <c r="AHQ6" s="2"/>
      <c r="AHR6" s="2"/>
      <c r="AHS6" s="2"/>
      <c r="AHT6" s="2"/>
      <c r="AHU6" s="2"/>
      <c r="AHV6" s="2"/>
      <c r="AHW6" s="2"/>
      <c r="AHX6" s="2"/>
      <c r="AHY6" s="2"/>
      <c r="AHZ6" s="2"/>
      <c r="AIA6" s="2"/>
      <c r="AIB6" s="2"/>
      <c r="AIC6" s="2"/>
      <c r="AID6" s="2"/>
      <c r="AIE6" s="2"/>
      <c r="AIF6" s="2"/>
      <c r="AIG6" s="2"/>
      <c r="AIH6" s="2"/>
      <c r="AII6" s="2"/>
      <c r="AIJ6" s="2"/>
      <c r="AIK6" s="2"/>
      <c r="AIL6" s="2"/>
      <c r="AIM6" s="2"/>
      <c r="AIN6" s="2"/>
      <c r="AIO6" s="2"/>
      <c r="AIP6" s="2"/>
      <c r="AIQ6" s="2"/>
      <c r="AIR6" s="2"/>
      <c r="AIS6" s="2"/>
      <c r="AIT6" s="2"/>
      <c r="AIU6" s="2"/>
      <c r="AIV6" s="2"/>
      <c r="AIW6" s="2"/>
      <c r="AIX6" s="2"/>
      <c r="AIY6" s="2"/>
      <c r="AIZ6" s="2"/>
      <c r="AJA6" s="2"/>
      <c r="AJB6" s="2"/>
      <c r="AJC6" s="2"/>
      <c r="AJD6" s="2"/>
      <c r="AJE6" s="2"/>
      <c r="AJF6" s="2"/>
      <c r="AJG6" s="2"/>
      <c r="AJH6" s="2"/>
      <c r="AJI6" s="2"/>
      <c r="AJJ6" s="2"/>
      <c r="AJK6" s="2"/>
      <c r="AJL6" s="2"/>
      <c r="AJM6" s="2"/>
      <c r="AJN6" s="2"/>
      <c r="AJO6" s="2"/>
      <c r="AJP6" s="2"/>
      <c r="AJQ6" s="2"/>
      <c r="AJR6" s="2"/>
      <c r="AJS6" s="2"/>
      <c r="AJT6" s="2"/>
      <c r="AJU6" s="2"/>
      <c r="AJV6" s="2"/>
      <c r="AJW6" s="2"/>
      <c r="AJX6" s="2"/>
      <c r="AJY6" s="2"/>
      <c r="AJZ6" s="2"/>
    </row>
    <row r="7" spans="1:962">
      <c r="A7" s="16">
        <v>6</v>
      </c>
      <c r="B7" s="16">
        <v>2</v>
      </c>
      <c r="C7" s="16">
        <v>11.54</v>
      </c>
      <c r="D7" s="9">
        <v>5.47</v>
      </c>
      <c r="E7" s="9">
        <v>4.7699999999999996</v>
      </c>
      <c r="F7" s="9">
        <v>0.24</v>
      </c>
      <c r="G7" s="16">
        <v>183</v>
      </c>
      <c r="H7" s="17">
        <v>2</v>
      </c>
      <c r="I7" s="9">
        <f t="shared" si="0"/>
        <v>1.1467505241090148</v>
      </c>
      <c r="J7" s="9">
        <f t="shared" si="1"/>
        <v>5.0314465408805034E-2</v>
      </c>
      <c r="K7" s="9">
        <f t="shared" si="2"/>
        <v>38.364779874213838</v>
      </c>
      <c r="L7" s="9">
        <f t="shared" si="3"/>
        <v>209.85534591194971</v>
      </c>
      <c r="M7" s="16">
        <v>7</v>
      </c>
      <c r="N7" s="7" t="s">
        <v>31</v>
      </c>
      <c r="O7" s="9">
        <v>4.5</v>
      </c>
      <c r="P7" s="9">
        <v>11.54</v>
      </c>
      <c r="Q7" s="9">
        <v>5.74</v>
      </c>
      <c r="R7" s="9">
        <v>4.7699999999999996</v>
      </c>
      <c r="S7" s="9">
        <v>0.24</v>
      </c>
      <c r="T7" s="9">
        <v>0.77</v>
      </c>
      <c r="U7" s="9">
        <v>0</v>
      </c>
      <c r="V7" s="9">
        <v>0.01</v>
      </c>
      <c r="W7" s="18">
        <v>9.98</v>
      </c>
      <c r="X7" s="19">
        <v>138</v>
      </c>
      <c r="Y7" s="16">
        <v>0.44</v>
      </c>
      <c r="Z7" s="16">
        <v>183</v>
      </c>
      <c r="AA7" s="16">
        <v>0.4</v>
      </c>
      <c r="AB7" s="16">
        <v>3.9E-2</v>
      </c>
      <c r="AC7" s="16">
        <v>158.80000000000001</v>
      </c>
      <c r="AD7" s="16">
        <v>4.71</v>
      </c>
      <c r="AE7" s="16">
        <v>124.5</v>
      </c>
      <c r="AF7" s="16">
        <v>2.67</v>
      </c>
      <c r="AG7" s="16">
        <v>1.06</v>
      </c>
      <c r="AH7" s="16">
        <v>11.16</v>
      </c>
      <c r="AI7" s="16">
        <v>169.62</v>
      </c>
      <c r="AJ7" s="16">
        <v>36.4</v>
      </c>
      <c r="AK7" s="16">
        <v>50.3</v>
      </c>
      <c r="AL7" s="16">
        <v>79.73</v>
      </c>
      <c r="AM7" s="16">
        <v>35.96</v>
      </c>
      <c r="AN7" s="16"/>
      <c r="AO7" s="16"/>
      <c r="AP7" s="16">
        <v>11</v>
      </c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  <c r="JC7" s="2"/>
      <c r="JD7" s="2"/>
      <c r="JE7" s="2"/>
      <c r="JF7" s="2"/>
      <c r="JG7" s="2"/>
      <c r="JH7" s="2"/>
      <c r="JI7" s="2"/>
      <c r="JJ7" s="2"/>
      <c r="JK7" s="2"/>
      <c r="JL7" s="2"/>
      <c r="JM7" s="2"/>
      <c r="JN7" s="2"/>
      <c r="JO7" s="2"/>
      <c r="JP7" s="2"/>
      <c r="JQ7" s="2"/>
      <c r="JR7" s="2"/>
      <c r="JS7" s="2"/>
      <c r="JT7" s="2"/>
      <c r="JU7" s="2"/>
      <c r="JV7" s="2"/>
      <c r="JW7" s="2"/>
      <c r="JX7" s="2"/>
      <c r="JY7" s="2"/>
      <c r="JZ7" s="2"/>
      <c r="KA7" s="2"/>
      <c r="KB7" s="2"/>
      <c r="KC7" s="2"/>
      <c r="KD7" s="2"/>
      <c r="KE7" s="2"/>
      <c r="KF7" s="2"/>
      <c r="KG7" s="2"/>
      <c r="KH7" s="2"/>
      <c r="KI7" s="2"/>
      <c r="KJ7" s="2"/>
      <c r="KK7" s="2"/>
      <c r="KL7" s="2"/>
      <c r="KM7" s="2"/>
      <c r="KN7" s="2"/>
      <c r="KO7" s="2"/>
      <c r="KP7" s="2"/>
      <c r="KQ7" s="2"/>
      <c r="KR7" s="2"/>
      <c r="KS7" s="2"/>
      <c r="KT7" s="2"/>
      <c r="KU7" s="2"/>
      <c r="KV7" s="2"/>
      <c r="KW7" s="2"/>
      <c r="KX7" s="2"/>
      <c r="KY7" s="2"/>
      <c r="KZ7" s="2"/>
      <c r="LA7" s="2"/>
      <c r="LB7" s="2"/>
      <c r="LC7" s="2"/>
      <c r="LD7" s="2"/>
      <c r="LE7" s="2"/>
      <c r="LF7" s="2"/>
      <c r="LG7" s="2"/>
      <c r="LH7" s="2"/>
      <c r="LI7" s="2"/>
      <c r="LJ7" s="2"/>
      <c r="LK7" s="2"/>
      <c r="LL7" s="2"/>
      <c r="LM7" s="2"/>
      <c r="LN7" s="2"/>
      <c r="LO7" s="2"/>
      <c r="LP7" s="2"/>
      <c r="LQ7" s="2"/>
      <c r="LR7" s="2"/>
      <c r="LS7" s="2"/>
      <c r="LT7" s="2"/>
      <c r="LU7" s="2"/>
      <c r="LV7" s="2"/>
      <c r="LW7" s="2"/>
      <c r="LX7" s="2"/>
      <c r="LY7" s="2"/>
      <c r="LZ7" s="2"/>
      <c r="MA7" s="2"/>
      <c r="MB7" s="2"/>
      <c r="MC7" s="2"/>
      <c r="MD7" s="2"/>
      <c r="ME7" s="2"/>
      <c r="MF7" s="2"/>
      <c r="MG7" s="2"/>
      <c r="MH7" s="2"/>
      <c r="MI7" s="2"/>
      <c r="MJ7" s="2"/>
      <c r="MK7" s="2"/>
      <c r="ML7" s="2"/>
      <c r="MM7" s="2"/>
      <c r="MN7" s="2"/>
      <c r="MO7" s="2"/>
      <c r="MP7" s="2"/>
      <c r="MQ7" s="2"/>
      <c r="MR7" s="2"/>
      <c r="MS7" s="2"/>
      <c r="MT7" s="2"/>
      <c r="MU7" s="2"/>
      <c r="MV7" s="2"/>
      <c r="MW7" s="2"/>
      <c r="MX7" s="2"/>
      <c r="MY7" s="2"/>
      <c r="MZ7" s="2"/>
      <c r="NA7" s="2"/>
      <c r="NB7" s="2"/>
      <c r="NC7" s="2"/>
      <c r="ND7" s="2"/>
      <c r="NE7" s="2"/>
      <c r="NF7" s="2"/>
      <c r="NG7" s="2"/>
      <c r="NH7" s="2"/>
      <c r="NI7" s="2"/>
      <c r="NJ7" s="2"/>
      <c r="NK7" s="2"/>
      <c r="NL7" s="2"/>
      <c r="NM7" s="2"/>
      <c r="NN7" s="2"/>
      <c r="NO7" s="2"/>
      <c r="NP7" s="2"/>
      <c r="NQ7" s="2"/>
      <c r="NR7" s="2"/>
      <c r="NS7" s="2"/>
      <c r="NT7" s="2"/>
      <c r="NU7" s="2"/>
      <c r="NV7" s="2"/>
      <c r="NW7" s="2"/>
      <c r="NX7" s="2"/>
      <c r="NY7" s="2"/>
      <c r="NZ7" s="2"/>
      <c r="OA7" s="2"/>
      <c r="OB7" s="2"/>
      <c r="OC7" s="2"/>
      <c r="OD7" s="2"/>
      <c r="OE7" s="2"/>
      <c r="OF7" s="2"/>
      <c r="OG7" s="2"/>
      <c r="OH7" s="2"/>
      <c r="OI7" s="2"/>
      <c r="OJ7" s="2"/>
      <c r="OK7" s="2"/>
      <c r="OL7" s="2"/>
      <c r="OM7" s="2"/>
      <c r="ON7" s="2"/>
      <c r="OO7" s="2"/>
      <c r="OP7" s="2"/>
      <c r="OQ7" s="2"/>
      <c r="OR7" s="2"/>
      <c r="OS7" s="2"/>
      <c r="OT7" s="2"/>
      <c r="OU7" s="2"/>
      <c r="OV7" s="2"/>
      <c r="OW7" s="2"/>
      <c r="OX7" s="2"/>
      <c r="OY7" s="2"/>
      <c r="OZ7" s="2"/>
      <c r="PA7" s="2"/>
      <c r="PB7" s="2"/>
      <c r="PC7" s="2"/>
      <c r="PD7" s="2"/>
      <c r="PE7" s="2"/>
      <c r="PF7" s="2"/>
      <c r="PG7" s="2"/>
      <c r="PH7" s="2"/>
      <c r="PI7" s="2"/>
      <c r="PJ7" s="2"/>
      <c r="PK7" s="2"/>
      <c r="PL7" s="2"/>
      <c r="PM7" s="2"/>
      <c r="PN7" s="2"/>
      <c r="PO7" s="2"/>
      <c r="PP7" s="2"/>
      <c r="PQ7" s="2"/>
      <c r="PR7" s="2"/>
      <c r="PS7" s="2"/>
      <c r="PT7" s="2"/>
      <c r="PU7" s="2"/>
      <c r="PV7" s="2"/>
      <c r="PW7" s="2"/>
      <c r="PX7" s="2"/>
      <c r="PY7" s="2"/>
      <c r="PZ7" s="2"/>
      <c r="QA7" s="2"/>
      <c r="QB7" s="2"/>
      <c r="QC7" s="2"/>
      <c r="QD7" s="2"/>
      <c r="QE7" s="2"/>
      <c r="QF7" s="2"/>
      <c r="QG7" s="2"/>
      <c r="QH7" s="2"/>
      <c r="QI7" s="2"/>
      <c r="QJ7" s="2"/>
      <c r="QK7" s="2"/>
      <c r="QL7" s="2"/>
      <c r="QM7" s="2"/>
      <c r="QN7" s="2"/>
      <c r="QO7" s="2"/>
      <c r="QP7" s="2"/>
      <c r="QQ7" s="2"/>
      <c r="QR7" s="2"/>
      <c r="QS7" s="2"/>
      <c r="QT7" s="2"/>
      <c r="QU7" s="2"/>
      <c r="QV7" s="2"/>
      <c r="QW7" s="2"/>
      <c r="QX7" s="2"/>
      <c r="QY7" s="2"/>
      <c r="QZ7" s="2"/>
      <c r="RA7" s="2"/>
      <c r="RB7" s="2"/>
      <c r="RC7" s="2"/>
      <c r="RD7" s="2"/>
      <c r="RE7" s="2"/>
      <c r="RF7" s="2"/>
      <c r="RG7" s="2"/>
      <c r="RH7" s="2"/>
      <c r="RI7" s="2"/>
      <c r="RJ7" s="2"/>
      <c r="RK7" s="2"/>
      <c r="RL7" s="2"/>
      <c r="RM7" s="2"/>
      <c r="RN7" s="2"/>
      <c r="RO7" s="2"/>
      <c r="RP7" s="2"/>
      <c r="RQ7" s="2"/>
      <c r="RR7" s="2"/>
      <c r="RS7" s="2"/>
      <c r="RT7" s="2"/>
      <c r="RU7" s="2"/>
      <c r="RV7" s="2"/>
      <c r="RW7" s="2"/>
      <c r="RX7" s="2"/>
      <c r="RY7" s="2"/>
      <c r="RZ7" s="2"/>
      <c r="SA7" s="2"/>
      <c r="SB7" s="2"/>
      <c r="SC7" s="2"/>
      <c r="SD7" s="2"/>
      <c r="SE7" s="2"/>
      <c r="SF7" s="2"/>
      <c r="SG7" s="2"/>
      <c r="SH7" s="2"/>
      <c r="SI7" s="2"/>
      <c r="SJ7" s="2"/>
      <c r="SK7" s="2"/>
      <c r="SL7" s="2"/>
      <c r="SM7" s="2"/>
      <c r="SN7" s="2"/>
      <c r="SO7" s="2"/>
      <c r="SP7" s="2"/>
      <c r="SQ7" s="2"/>
      <c r="SR7" s="2"/>
      <c r="SS7" s="2"/>
      <c r="ST7" s="2"/>
      <c r="SU7" s="2"/>
      <c r="SV7" s="2"/>
      <c r="SW7" s="2"/>
      <c r="SX7" s="2"/>
      <c r="SY7" s="2"/>
      <c r="SZ7" s="2"/>
      <c r="TA7" s="2"/>
      <c r="TB7" s="2"/>
      <c r="TC7" s="2"/>
      <c r="TD7" s="2"/>
      <c r="TE7" s="2"/>
      <c r="TF7" s="2"/>
      <c r="TG7" s="2"/>
      <c r="TH7" s="2"/>
      <c r="TI7" s="2"/>
      <c r="TJ7" s="2"/>
      <c r="TK7" s="2"/>
      <c r="TL7" s="2"/>
      <c r="TM7" s="2"/>
      <c r="TN7" s="2"/>
      <c r="TO7" s="2"/>
      <c r="TP7" s="2"/>
      <c r="TQ7" s="2"/>
      <c r="TR7" s="2"/>
      <c r="TS7" s="2"/>
      <c r="TT7" s="2"/>
      <c r="TU7" s="2"/>
      <c r="TV7" s="2"/>
      <c r="TW7" s="2"/>
      <c r="TX7" s="2"/>
      <c r="TY7" s="2"/>
      <c r="TZ7" s="2"/>
      <c r="UA7" s="2"/>
      <c r="UB7" s="2"/>
      <c r="UC7" s="2"/>
      <c r="UD7" s="2"/>
      <c r="UE7" s="2"/>
      <c r="UF7" s="2"/>
      <c r="UG7" s="2"/>
      <c r="UH7" s="2"/>
      <c r="UI7" s="2"/>
      <c r="UJ7" s="2"/>
      <c r="UK7" s="2"/>
      <c r="UL7" s="2"/>
      <c r="UM7" s="2"/>
      <c r="UN7" s="2"/>
      <c r="UO7" s="2"/>
      <c r="UP7" s="2"/>
      <c r="UQ7" s="2"/>
      <c r="UR7" s="2"/>
      <c r="US7" s="2"/>
      <c r="UT7" s="2"/>
      <c r="UU7" s="2"/>
      <c r="UV7" s="2"/>
      <c r="UW7" s="2"/>
      <c r="UX7" s="2"/>
      <c r="UY7" s="2"/>
      <c r="UZ7" s="2"/>
      <c r="VA7" s="2"/>
      <c r="VB7" s="2"/>
      <c r="VC7" s="2"/>
      <c r="VD7" s="2"/>
      <c r="VE7" s="2"/>
      <c r="VF7" s="2"/>
      <c r="VG7" s="2"/>
      <c r="VH7" s="2"/>
      <c r="VI7" s="2"/>
      <c r="VJ7" s="2"/>
      <c r="VK7" s="2"/>
      <c r="VL7" s="2"/>
      <c r="VM7" s="2"/>
      <c r="VN7" s="2"/>
      <c r="VO7" s="2"/>
      <c r="VP7" s="2"/>
      <c r="VQ7" s="2"/>
      <c r="VR7" s="2"/>
      <c r="VS7" s="2"/>
      <c r="VT7" s="2"/>
      <c r="VU7" s="2"/>
      <c r="VV7" s="2"/>
      <c r="VW7" s="2"/>
      <c r="VX7" s="2"/>
      <c r="VY7" s="2"/>
      <c r="VZ7" s="2"/>
      <c r="WA7" s="2"/>
      <c r="WB7" s="2"/>
      <c r="WC7" s="2"/>
      <c r="WD7" s="2"/>
      <c r="WE7" s="2"/>
      <c r="WF7" s="2"/>
      <c r="WG7" s="2"/>
      <c r="WH7" s="2"/>
      <c r="WI7" s="2"/>
      <c r="WJ7" s="2"/>
      <c r="WK7" s="2"/>
      <c r="WL7" s="2"/>
      <c r="WM7" s="2"/>
      <c r="WN7" s="2"/>
      <c r="WO7" s="2"/>
      <c r="WP7" s="2"/>
      <c r="WQ7" s="2"/>
      <c r="WR7" s="2"/>
      <c r="WS7" s="2"/>
      <c r="WT7" s="2"/>
      <c r="WU7" s="2"/>
      <c r="WV7" s="2"/>
      <c r="WW7" s="2"/>
      <c r="WX7" s="2"/>
      <c r="WY7" s="2"/>
      <c r="WZ7" s="2"/>
      <c r="XA7" s="2"/>
      <c r="XB7" s="2"/>
      <c r="XC7" s="2"/>
      <c r="XD7" s="2"/>
      <c r="XE7" s="2"/>
      <c r="XF7" s="2"/>
      <c r="XG7" s="2"/>
      <c r="XH7" s="2"/>
      <c r="XI7" s="2"/>
      <c r="XJ7" s="2"/>
      <c r="XK7" s="2"/>
      <c r="XL7" s="2"/>
      <c r="XM7" s="2"/>
      <c r="XN7" s="2"/>
      <c r="XO7" s="2"/>
      <c r="XP7" s="2"/>
      <c r="XQ7" s="2"/>
      <c r="XR7" s="2"/>
      <c r="XS7" s="2"/>
      <c r="XT7" s="2"/>
      <c r="XU7" s="2"/>
      <c r="XV7" s="2"/>
      <c r="XW7" s="2"/>
      <c r="XX7" s="2"/>
      <c r="XY7" s="2"/>
      <c r="XZ7" s="2"/>
      <c r="YA7" s="2"/>
      <c r="YB7" s="2"/>
      <c r="YC7" s="2"/>
      <c r="YD7" s="2"/>
      <c r="YE7" s="2"/>
      <c r="YF7" s="2"/>
      <c r="YG7" s="2"/>
      <c r="YH7" s="2"/>
      <c r="YI7" s="2"/>
      <c r="YJ7" s="2"/>
      <c r="YK7" s="2"/>
      <c r="YL7" s="2"/>
      <c r="YM7" s="2"/>
      <c r="YN7" s="2"/>
      <c r="YO7" s="2"/>
      <c r="YP7" s="2"/>
      <c r="YQ7" s="2"/>
      <c r="YR7" s="2"/>
      <c r="YS7" s="2"/>
      <c r="YT7" s="2"/>
      <c r="YU7" s="2"/>
      <c r="YV7" s="2"/>
      <c r="YW7" s="2"/>
      <c r="YX7" s="2"/>
      <c r="YY7" s="2"/>
      <c r="YZ7" s="2"/>
      <c r="ZA7" s="2"/>
      <c r="ZB7" s="2"/>
      <c r="ZC7" s="2"/>
      <c r="ZD7" s="2"/>
      <c r="ZE7" s="2"/>
      <c r="ZF7" s="2"/>
      <c r="ZG7" s="2"/>
      <c r="ZH7" s="2"/>
      <c r="ZI7" s="2"/>
      <c r="ZJ7" s="2"/>
      <c r="ZK7" s="2"/>
      <c r="ZL7" s="2"/>
      <c r="ZM7" s="2"/>
      <c r="ZN7" s="2"/>
      <c r="ZO7" s="2"/>
      <c r="ZP7" s="2"/>
      <c r="ZQ7" s="2"/>
      <c r="ZR7" s="2"/>
      <c r="ZS7" s="2"/>
      <c r="ZT7" s="2"/>
      <c r="ZU7" s="2"/>
      <c r="ZV7" s="2"/>
      <c r="ZW7" s="2"/>
      <c r="ZX7" s="2"/>
      <c r="ZY7" s="2"/>
      <c r="ZZ7" s="2"/>
      <c r="AAA7" s="2"/>
      <c r="AAB7" s="2"/>
      <c r="AAC7" s="2"/>
      <c r="AAD7" s="2"/>
      <c r="AAE7" s="2"/>
      <c r="AAF7" s="2"/>
      <c r="AAG7" s="2"/>
      <c r="AAH7" s="2"/>
      <c r="AAI7" s="2"/>
      <c r="AAJ7" s="2"/>
      <c r="AAK7" s="2"/>
      <c r="AAL7" s="2"/>
      <c r="AAM7" s="2"/>
      <c r="AAN7" s="2"/>
      <c r="AAO7" s="2"/>
      <c r="AAP7" s="2"/>
      <c r="AAQ7" s="2"/>
      <c r="AAR7" s="2"/>
      <c r="AAS7" s="2"/>
      <c r="AAT7" s="2"/>
      <c r="AAU7" s="2"/>
      <c r="AAV7" s="2"/>
      <c r="AAW7" s="2"/>
      <c r="AAX7" s="2"/>
      <c r="AAY7" s="2"/>
      <c r="AAZ7" s="2"/>
      <c r="ABA7" s="2"/>
      <c r="ABB7" s="2"/>
      <c r="ABC7" s="2"/>
      <c r="ABD7" s="2"/>
      <c r="ABE7" s="2"/>
      <c r="ABF7" s="2"/>
      <c r="ABG7" s="2"/>
      <c r="ABH7" s="2"/>
      <c r="ABI7" s="2"/>
      <c r="ABJ7" s="2"/>
      <c r="ABK7" s="2"/>
      <c r="ABL7" s="2"/>
      <c r="ABM7" s="2"/>
      <c r="ABN7" s="2"/>
      <c r="ABO7" s="2"/>
      <c r="ABP7" s="2"/>
      <c r="ABQ7" s="2"/>
      <c r="ABR7" s="2"/>
      <c r="ABS7" s="2"/>
      <c r="ABT7" s="2"/>
      <c r="ABU7" s="2"/>
      <c r="ABV7" s="2"/>
      <c r="ABW7" s="2"/>
      <c r="ABX7" s="2"/>
      <c r="ABY7" s="2"/>
      <c r="ABZ7" s="2"/>
      <c r="ACA7" s="2"/>
      <c r="ACB7" s="2"/>
      <c r="ACC7" s="2"/>
      <c r="ACD7" s="2"/>
      <c r="ACE7" s="2"/>
      <c r="ACF7" s="2"/>
      <c r="ACG7" s="2"/>
      <c r="ACH7" s="2"/>
      <c r="ACI7" s="2"/>
      <c r="ACJ7" s="2"/>
      <c r="ACK7" s="2"/>
      <c r="ACL7" s="2"/>
      <c r="ACM7" s="2"/>
      <c r="ACN7" s="2"/>
      <c r="ACO7" s="2"/>
      <c r="ACP7" s="2"/>
      <c r="ACQ7" s="2"/>
      <c r="ACR7" s="2"/>
      <c r="ACS7" s="2"/>
      <c r="ACT7" s="2"/>
      <c r="ACU7" s="2"/>
      <c r="ACV7" s="2"/>
      <c r="ACW7" s="2"/>
      <c r="ACX7" s="2"/>
      <c r="ACY7" s="2"/>
      <c r="ACZ7" s="2"/>
      <c r="ADA7" s="2"/>
      <c r="ADB7" s="2"/>
      <c r="ADC7" s="2"/>
      <c r="ADD7" s="2"/>
      <c r="ADE7" s="2"/>
      <c r="ADF7" s="2"/>
      <c r="ADG7" s="2"/>
      <c r="ADH7" s="2"/>
      <c r="ADI7" s="2"/>
      <c r="ADJ7" s="2"/>
      <c r="ADK7" s="2"/>
      <c r="ADL7" s="2"/>
      <c r="ADM7" s="2"/>
      <c r="ADN7" s="2"/>
      <c r="ADO7" s="2"/>
      <c r="ADP7" s="2"/>
      <c r="ADQ7" s="2"/>
      <c r="ADR7" s="2"/>
      <c r="ADS7" s="2"/>
      <c r="ADT7" s="2"/>
      <c r="ADU7" s="2"/>
      <c r="ADV7" s="2"/>
      <c r="ADW7" s="2"/>
      <c r="ADX7" s="2"/>
      <c r="ADY7" s="2"/>
      <c r="ADZ7" s="2"/>
      <c r="AEA7" s="2"/>
      <c r="AEB7" s="2"/>
      <c r="AEC7" s="2"/>
      <c r="AED7" s="2"/>
      <c r="AEE7" s="2"/>
      <c r="AEF7" s="2"/>
      <c r="AEG7" s="2"/>
      <c r="AEH7" s="2"/>
      <c r="AEI7" s="2"/>
      <c r="AEJ7" s="2"/>
      <c r="AEK7" s="2"/>
      <c r="AEL7" s="2"/>
      <c r="AEM7" s="2"/>
      <c r="AEN7" s="2"/>
      <c r="AEO7" s="2"/>
      <c r="AEP7" s="2"/>
      <c r="AEQ7" s="2"/>
      <c r="AER7" s="2"/>
      <c r="AES7" s="2"/>
      <c r="AET7" s="2"/>
      <c r="AEU7" s="2"/>
      <c r="AEV7" s="2"/>
      <c r="AEW7" s="2"/>
      <c r="AEX7" s="2"/>
      <c r="AEY7" s="2"/>
      <c r="AEZ7" s="2"/>
      <c r="AFA7" s="2"/>
      <c r="AFB7" s="2"/>
      <c r="AFC7" s="2"/>
      <c r="AFD7" s="2"/>
      <c r="AFE7" s="2"/>
      <c r="AFF7" s="2"/>
      <c r="AFG7" s="2"/>
      <c r="AFH7" s="2"/>
      <c r="AFI7" s="2"/>
      <c r="AFJ7" s="2"/>
      <c r="AFK7" s="2"/>
      <c r="AFL7" s="2"/>
      <c r="AFM7" s="2"/>
      <c r="AFN7" s="2"/>
      <c r="AFO7" s="2"/>
      <c r="AFP7" s="2"/>
      <c r="AFQ7" s="2"/>
      <c r="AFR7" s="2"/>
      <c r="AFS7" s="2"/>
      <c r="AFT7" s="2"/>
      <c r="AFU7" s="2"/>
      <c r="AFV7" s="2"/>
      <c r="AFW7" s="2"/>
      <c r="AFX7" s="2"/>
      <c r="AFY7" s="2"/>
      <c r="AFZ7" s="2"/>
      <c r="AGA7" s="2"/>
      <c r="AGB7" s="2"/>
      <c r="AGC7" s="2"/>
      <c r="AGD7" s="2"/>
      <c r="AGE7" s="2"/>
      <c r="AGF7" s="2"/>
      <c r="AGG7" s="2"/>
      <c r="AGH7" s="2"/>
      <c r="AGI7" s="2"/>
      <c r="AGJ7" s="2"/>
      <c r="AGK7" s="2"/>
      <c r="AGL7" s="2"/>
      <c r="AGM7" s="2"/>
      <c r="AGN7" s="2"/>
      <c r="AGO7" s="2"/>
      <c r="AGP7" s="2"/>
      <c r="AGQ7" s="2"/>
      <c r="AGR7" s="2"/>
      <c r="AGS7" s="2"/>
      <c r="AGT7" s="2"/>
      <c r="AGU7" s="2"/>
      <c r="AGV7" s="2"/>
      <c r="AGW7" s="2"/>
      <c r="AGX7" s="2"/>
      <c r="AGY7" s="2"/>
      <c r="AGZ7" s="2"/>
      <c r="AHA7" s="2"/>
      <c r="AHB7" s="2"/>
      <c r="AHC7" s="2"/>
      <c r="AHD7" s="2"/>
      <c r="AHE7" s="2"/>
      <c r="AHF7" s="2"/>
      <c r="AHG7" s="2"/>
      <c r="AHH7" s="2"/>
      <c r="AHI7" s="2"/>
      <c r="AHJ7" s="2"/>
      <c r="AHK7" s="2"/>
      <c r="AHL7" s="2"/>
      <c r="AHM7" s="2"/>
      <c r="AHN7" s="2"/>
      <c r="AHO7" s="2"/>
      <c r="AHP7" s="2"/>
      <c r="AHQ7" s="2"/>
      <c r="AHR7" s="2"/>
      <c r="AHS7" s="2"/>
      <c r="AHT7" s="2"/>
      <c r="AHU7" s="2"/>
      <c r="AHV7" s="2"/>
      <c r="AHW7" s="2"/>
      <c r="AHX7" s="2"/>
      <c r="AHY7" s="2"/>
      <c r="AHZ7" s="2"/>
      <c r="AIA7" s="2"/>
      <c r="AIB7" s="2"/>
      <c r="AIC7" s="2"/>
      <c r="AID7" s="2"/>
      <c r="AIE7" s="2"/>
      <c r="AIF7" s="2"/>
      <c r="AIG7" s="2"/>
      <c r="AIH7" s="2"/>
      <c r="AII7" s="2"/>
      <c r="AIJ7" s="2"/>
      <c r="AIK7" s="2"/>
      <c r="AIL7" s="2"/>
      <c r="AIM7" s="2"/>
      <c r="AIN7" s="2"/>
      <c r="AIO7" s="2"/>
      <c r="AIP7" s="2"/>
      <c r="AIQ7" s="2"/>
      <c r="AIR7" s="2"/>
      <c r="AIS7" s="2"/>
      <c r="AIT7" s="2"/>
      <c r="AIU7" s="2"/>
      <c r="AIV7" s="2"/>
      <c r="AIW7" s="2"/>
      <c r="AIX7" s="2"/>
      <c r="AIY7" s="2"/>
      <c r="AIZ7" s="2"/>
      <c r="AJA7" s="2"/>
      <c r="AJB7" s="2"/>
      <c r="AJC7" s="2"/>
      <c r="AJD7" s="2"/>
      <c r="AJE7" s="2"/>
      <c r="AJF7" s="2"/>
      <c r="AJG7" s="2"/>
      <c r="AJH7" s="2"/>
      <c r="AJI7" s="2"/>
      <c r="AJJ7" s="2"/>
      <c r="AJK7" s="2"/>
      <c r="AJL7" s="2"/>
      <c r="AJM7" s="2"/>
      <c r="AJN7" s="2"/>
      <c r="AJO7" s="2"/>
      <c r="AJP7" s="2"/>
      <c r="AJQ7" s="2"/>
      <c r="AJR7" s="2"/>
      <c r="AJS7" s="2"/>
      <c r="AJT7" s="2"/>
      <c r="AJU7" s="2"/>
      <c r="AJV7" s="2"/>
      <c r="AJW7" s="2"/>
      <c r="AJX7" s="2"/>
      <c r="AJY7" s="2"/>
      <c r="AJZ7" s="2"/>
    </row>
    <row r="8" spans="1:962">
      <c r="A8" s="16">
        <v>7</v>
      </c>
      <c r="B8" s="16">
        <v>2</v>
      </c>
      <c r="C8" s="16">
        <v>4.1399999999999997</v>
      </c>
      <c r="D8" s="9">
        <v>2.56</v>
      </c>
      <c r="E8" s="9">
        <v>1.49</v>
      </c>
      <c r="F8" s="9">
        <v>0.06</v>
      </c>
      <c r="G8" s="16">
        <v>133</v>
      </c>
      <c r="H8" s="17">
        <v>2</v>
      </c>
      <c r="I8" s="9">
        <f t="shared" si="0"/>
        <v>1.7181208053691275</v>
      </c>
      <c r="J8" s="9">
        <f t="shared" si="1"/>
        <v>4.0268456375838924E-2</v>
      </c>
      <c r="K8" s="9">
        <f t="shared" si="2"/>
        <v>89.261744966442947</v>
      </c>
      <c r="L8" s="9">
        <f t="shared" si="3"/>
        <v>228.51006711409397</v>
      </c>
      <c r="M8" s="16">
        <v>12</v>
      </c>
      <c r="N8" s="16" t="s">
        <v>30</v>
      </c>
      <c r="O8" s="9">
        <v>5.4</v>
      </c>
      <c r="P8" s="9">
        <v>4.1399999999999997</v>
      </c>
      <c r="Q8" s="9">
        <v>2.56</v>
      </c>
      <c r="R8" s="9">
        <v>1.49</v>
      </c>
      <c r="S8" s="9">
        <v>0.06</v>
      </c>
      <c r="T8" s="9">
        <v>0.03</v>
      </c>
      <c r="U8" s="9">
        <v>0</v>
      </c>
      <c r="V8" s="9">
        <v>0</v>
      </c>
      <c r="W8" s="18">
        <v>10.69</v>
      </c>
      <c r="X8" s="19">
        <v>146</v>
      </c>
      <c r="Y8" s="16">
        <v>0.46</v>
      </c>
      <c r="Z8" s="16">
        <v>133</v>
      </c>
      <c r="AA8" s="16">
        <v>0.2</v>
      </c>
      <c r="AB8" s="16">
        <v>2.4E-2</v>
      </c>
      <c r="AC8" s="16">
        <v>156.1</v>
      </c>
      <c r="AD8" s="16">
        <v>4.5199999999999996</v>
      </c>
      <c r="AE8" s="16">
        <v>120.7</v>
      </c>
      <c r="AF8" s="16">
        <v>2.57</v>
      </c>
      <c r="AG8" s="16">
        <v>1.35</v>
      </c>
      <c r="AH8" s="16">
        <v>11.44</v>
      </c>
      <c r="AI8" s="16">
        <v>181.76</v>
      </c>
      <c r="AJ8" s="16">
        <v>51</v>
      </c>
      <c r="AK8" s="16">
        <v>69.099999999999994</v>
      </c>
      <c r="AL8" s="16">
        <v>68.67</v>
      </c>
      <c r="AM8" s="16">
        <v>31.99</v>
      </c>
      <c r="AN8" s="16">
        <v>1.07</v>
      </c>
      <c r="AO8" s="16">
        <v>0.11700000000000001</v>
      </c>
      <c r="AP8" s="16">
        <v>12</v>
      </c>
    </row>
    <row r="9" spans="1:962">
      <c r="A9" s="16">
        <v>8</v>
      </c>
      <c r="B9" s="16">
        <v>2</v>
      </c>
      <c r="C9" s="16">
        <v>7.08</v>
      </c>
      <c r="D9" s="9">
        <v>3.88</v>
      </c>
      <c r="E9" s="9">
        <v>2.06</v>
      </c>
      <c r="F9" s="9">
        <v>0.13</v>
      </c>
      <c r="G9" s="16">
        <v>144</v>
      </c>
      <c r="H9" s="17">
        <v>2</v>
      </c>
      <c r="I9" s="9">
        <f t="shared" si="0"/>
        <v>1.8834951456310678</v>
      </c>
      <c r="J9" s="9">
        <f t="shared" si="1"/>
        <v>6.3106796116504854E-2</v>
      </c>
      <c r="K9" s="9">
        <f t="shared" si="2"/>
        <v>69.902912621359221</v>
      </c>
      <c r="L9" s="9">
        <f t="shared" si="3"/>
        <v>271.22330097087377</v>
      </c>
      <c r="M9" s="16">
        <v>6</v>
      </c>
      <c r="N9" s="16" t="s">
        <v>30</v>
      </c>
      <c r="O9" s="9">
        <v>6.4</v>
      </c>
      <c r="P9" s="9">
        <v>7.08</v>
      </c>
      <c r="Q9" s="9">
        <v>3.88</v>
      </c>
      <c r="R9" s="9">
        <v>2.06</v>
      </c>
      <c r="S9" s="9">
        <v>0.13</v>
      </c>
      <c r="T9" s="9">
        <v>1</v>
      </c>
      <c r="U9" s="9">
        <v>0</v>
      </c>
      <c r="V9" s="9">
        <v>0</v>
      </c>
      <c r="W9" s="18">
        <v>10.99</v>
      </c>
      <c r="X9" s="19">
        <v>163</v>
      </c>
      <c r="Y9" s="16">
        <v>0.52</v>
      </c>
      <c r="Z9" s="16">
        <v>144</v>
      </c>
      <c r="AA9" s="16">
        <v>0.4</v>
      </c>
      <c r="AB9" s="16">
        <v>4.9000000000000002E-2</v>
      </c>
      <c r="AC9" s="16">
        <v>154.69999999999999</v>
      </c>
      <c r="AD9" s="16">
        <v>4.18</v>
      </c>
      <c r="AE9" s="16">
        <v>119.1</v>
      </c>
      <c r="AF9" s="16">
        <v>2.5299999999999998</v>
      </c>
      <c r="AG9" s="16">
        <v>1.07</v>
      </c>
      <c r="AH9" s="16">
        <v>7.57</v>
      </c>
      <c r="AI9" s="16">
        <v>170.08</v>
      </c>
      <c r="AJ9" s="16">
        <v>11.7</v>
      </c>
      <c r="AK9" s="16">
        <v>90.7</v>
      </c>
      <c r="AL9" s="16">
        <v>75.2</v>
      </c>
      <c r="AM9" s="16">
        <v>34.17</v>
      </c>
      <c r="AN9" s="16">
        <v>1.05</v>
      </c>
      <c r="AO9" s="16"/>
      <c r="AP9" s="16">
        <v>20</v>
      </c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  <c r="JC9" s="2"/>
      <c r="JD9" s="2"/>
      <c r="JE9" s="2"/>
      <c r="JF9" s="2"/>
      <c r="JG9" s="2"/>
      <c r="JH9" s="2"/>
      <c r="JI9" s="2"/>
      <c r="JJ9" s="2"/>
      <c r="JK9" s="2"/>
      <c r="JL9" s="2"/>
      <c r="JM9" s="2"/>
      <c r="JN9" s="2"/>
      <c r="JO9" s="2"/>
      <c r="JP9" s="2"/>
      <c r="JQ9" s="2"/>
      <c r="JR9" s="2"/>
      <c r="JS9" s="2"/>
      <c r="JT9" s="2"/>
      <c r="JU9" s="2"/>
      <c r="JV9" s="2"/>
      <c r="JW9" s="2"/>
      <c r="JX9" s="2"/>
      <c r="JY9" s="2"/>
      <c r="JZ9" s="2"/>
      <c r="KA9" s="2"/>
      <c r="KB9" s="2"/>
      <c r="KC9" s="2"/>
      <c r="KD9" s="2"/>
      <c r="KE9" s="2"/>
      <c r="KF9" s="2"/>
      <c r="KG9" s="2"/>
      <c r="KH9" s="2"/>
      <c r="KI9" s="2"/>
      <c r="KJ9" s="2"/>
      <c r="KK9" s="2"/>
      <c r="KL9" s="2"/>
      <c r="KM9" s="2"/>
      <c r="KN9" s="2"/>
      <c r="KO9" s="2"/>
      <c r="KP9" s="2"/>
      <c r="KQ9" s="2"/>
      <c r="KR9" s="2"/>
      <c r="KS9" s="2"/>
      <c r="KT9" s="2"/>
      <c r="KU9" s="2"/>
      <c r="KV9" s="2"/>
      <c r="KW9" s="2"/>
      <c r="KX9" s="2"/>
      <c r="KY9" s="2"/>
      <c r="KZ9" s="2"/>
      <c r="LA9" s="2"/>
      <c r="LB9" s="2"/>
      <c r="LC9" s="2"/>
      <c r="LD9" s="2"/>
      <c r="LE9" s="2"/>
      <c r="LF9" s="2"/>
      <c r="LG9" s="2"/>
      <c r="LH9" s="2"/>
      <c r="LI9" s="2"/>
      <c r="LJ9" s="2"/>
      <c r="LK9" s="2"/>
      <c r="LL9" s="2"/>
      <c r="LM9" s="2"/>
      <c r="LN9" s="2"/>
      <c r="LO9" s="2"/>
      <c r="LP9" s="2"/>
      <c r="LQ9" s="2"/>
      <c r="LR9" s="2"/>
      <c r="LS9" s="2"/>
      <c r="LT9" s="2"/>
      <c r="LU9" s="2"/>
      <c r="LV9" s="2"/>
      <c r="LW9" s="2"/>
      <c r="LX9" s="2"/>
      <c r="LY9" s="2"/>
      <c r="LZ9" s="2"/>
      <c r="MA9" s="2"/>
      <c r="MB9" s="2"/>
      <c r="MC9" s="2"/>
      <c r="MD9" s="2"/>
      <c r="ME9" s="2"/>
      <c r="MF9" s="2"/>
      <c r="MG9" s="2"/>
      <c r="MH9" s="2"/>
      <c r="MI9" s="2"/>
      <c r="MJ9" s="2"/>
      <c r="MK9" s="2"/>
      <c r="ML9" s="2"/>
      <c r="MM9" s="2"/>
      <c r="MN9" s="2"/>
      <c r="MO9" s="2"/>
      <c r="MP9" s="2"/>
      <c r="MQ9" s="2"/>
      <c r="MR9" s="2"/>
      <c r="MS9" s="2"/>
      <c r="MT9" s="2"/>
      <c r="MU9" s="2"/>
      <c r="MV9" s="2"/>
      <c r="MW9" s="2"/>
      <c r="MX9" s="2"/>
      <c r="MY9" s="2"/>
      <c r="MZ9" s="2"/>
      <c r="NA9" s="2"/>
      <c r="NB9" s="2"/>
      <c r="NC9" s="2"/>
      <c r="ND9" s="2"/>
      <c r="NE9" s="2"/>
      <c r="NF9" s="2"/>
      <c r="NG9" s="2"/>
      <c r="NH9" s="2"/>
      <c r="NI9" s="2"/>
      <c r="NJ9" s="2"/>
      <c r="NK9" s="2"/>
      <c r="NL9" s="2"/>
      <c r="NM9" s="2"/>
      <c r="NN9" s="2"/>
      <c r="NO9" s="2"/>
      <c r="NP9" s="2"/>
      <c r="NQ9" s="2"/>
      <c r="NR9" s="2"/>
      <c r="NS9" s="2"/>
      <c r="NT9" s="2"/>
      <c r="NU9" s="2"/>
      <c r="NV9" s="2"/>
      <c r="NW9" s="2"/>
      <c r="NX9" s="2"/>
      <c r="NY9" s="2"/>
      <c r="NZ9" s="2"/>
      <c r="OA9" s="2"/>
      <c r="OB9" s="2"/>
      <c r="OC9" s="2"/>
      <c r="OD9" s="2"/>
      <c r="OE9" s="2"/>
      <c r="OF9" s="2"/>
      <c r="OG9" s="2"/>
      <c r="OH9" s="2"/>
      <c r="OI9" s="2"/>
      <c r="OJ9" s="2"/>
      <c r="OK9" s="2"/>
      <c r="OL9" s="2"/>
      <c r="OM9" s="2"/>
      <c r="ON9" s="2"/>
      <c r="OO9" s="2"/>
      <c r="OP9" s="2"/>
      <c r="OQ9" s="2"/>
      <c r="OR9" s="2"/>
      <c r="OS9" s="2"/>
      <c r="OT9" s="2"/>
      <c r="OU9" s="2"/>
      <c r="OV9" s="2"/>
      <c r="OW9" s="2"/>
      <c r="OX9" s="2"/>
      <c r="OY9" s="2"/>
      <c r="OZ9" s="2"/>
      <c r="PA9" s="2"/>
      <c r="PB9" s="2"/>
      <c r="PC9" s="2"/>
      <c r="PD9" s="2"/>
      <c r="PE9" s="2"/>
      <c r="PF9" s="2"/>
      <c r="PG9" s="2"/>
      <c r="PH9" s="2"/>
      <c r="PI9" s="2"/>
      <c r="PJ9" s="2"/>
      <c r="PK9" s="2"/>
      <c r="PL9" s="2"/>
      <c r="PM9" s="2"/>
      <c r="PN9" s="2"/>
      <c r="PO9" s="2"/>
      <c r="PP9" s="2"/>
      <c r="PQ9" s="2"/>
      <c r="PR9" s="2"/>
      <c r="PS9" s="2"/>
      <c r="PT9" s="2"/>
      <c r="PU9" s="2"/>
      <c r="PV9" s="2"/>
      <c r="PW9" s="2"/>
      <c r="PX9" s="2"/>
      <c r="PY9" s="2"/>
      <c r="PZ9" s="2"/>
      <c r="QA9" s="2"/>
      <c r="QB9" s="2"/>
      <c r="QC9" s="2"/>
      <c r="QD9" s="2"/>
      <c r="QE9" s="2"/>
      <c r="QF9" s="2"/>
      <c r="QG9" s="2"/>
      <c r="QH9" s="2"/>
      <c r="QI9" s="2"/>
      <c r="QJ9" s="2"/>
      <c r="QK9" s="2"/>
      <c r="QL9" s="2"/>
      <c r="QM9" s="2"/>
      <c r="QN9" s="2"/>
      <c r="QO9" s="2"/>
      <c r="QP9" s="2"/>
      <c r="QQ9" s="2"/>
      <c r="QR9" s="2"/>
      <c r="QS9" s="2"/>
      <c r="QT9" s="2"/>
      <c r="QU9" s="2"/>
      <c r="QV9" s="2"/>
      <c r="QW9" s="2"/>
      <c r="QX9" s="2"/>
      <c r="QY9" s="2"/>
      <c r="QZ9" s="2"/>
      <c r="RA9" s="2"/>
      <c r="RB9" s="2"/>
      <c r="RC9" s="2"/>
      <c r="RD9" s="2"/>
      <c r="RE9" s="2"/>
      <c r="RF9" s="2"/>
      <c r="RG9" s="2"/>
      <c r="RH9" s="2"/>
      <c r="RI9" s="2"/>
      <c r="RJ9" s="2"/>
      <c r="RK9" s="2"/>
      <c r="RL9" s="2"/>
      <c r="RM9" s="2"/>
      <c r="RN9" s="2"/>
      <c r="RO9" s="2"/>
      <c r="RP9" s="2"/>
      <c r="RQ9" s="2"/>
      <c r="RR9" s="2"/>
      <c r="RS9" s="2"/>
      <c r="RT9" s="2"/>
      <c r="RU9" s="2"/>
      <c r="RV9" s="2"/>
      <c r="RW9" s="2"/>
      <c r="RX9" s="2"/>
      <c r="RY9" s="2"/>
      <c r="RZ9" s="2"/>
      <c r="SA9" s="2"/>
      <c r="SB9" s="2"/>
      <c r="SC9" s="2"/>
      <c r="SD9" s="2"/>
      <c r="SE9" s="2"/>
      <c r="SF9" s="2"/>
      <c r="SG9" s="2"/>
      <c r="SH9" s="2"/>
      <c r="SI9" s="2"/>
      <c r="SJ9" s="2"/>
      <c r="SK9" s="2"/>
      <c r="SL9" s="2"/>
      <c r="SM9" s="2"/>
      <c r="SN9" s="2"/>
      <c r="SO9" s="2"/>
      <c r="SP9" s="2"/>
      <c r="SQ9" s="2"/>
      <c r="SR9" s="2"/>
      <c r="SS9" s="2"/>
      <c r="ST9" s="2"/>
      <c r="SU9" s="2"/>
      <c r="SV9" s="2"/>
      <c r="SW9" s="2"/>
      <c r="SX9" s="2"/>
      <c r="SY9" s="2"/>
      <c r="SZ9" s="2"/>
      <c r="TA9" s="2"/>
      <c r="TB9" s="2"/>
      <c r="TC9" s="2"/>
      <c r="TD9" s="2"/>
      <c r="TE9" s="2"/>
      <c r="TF9" s="2"/>
      <c r="TG9" s="2"/>
      <c r="TH9" s="2"/>
      <c r="TI9" s="2"/>
      <c r="TJ9" s="2"/>
      <c r="TK9" s="2"/>
      <c r="TL9" s="2"/>
      <c r="TM9" s="2"/>
      <c r="TN9" s="2"/>
      <c r="TO9" s="2"/>
      <c r="TP9" s="2"/>
      <c r="TQ9" s="2"/>
      <c r="TR9" s="2"/>
      <c r="TS9" s="2"/>
      <c r="TT9" s="2"/>
      <c r="TU9" s="2"/>
      <c r="TV9" s="2"/>
      <c r="TW9" s="2"/>
      <c r="TX9" s="2"/>
      <c r="TY9" s="2"/>
      <c r="TZ9" s="2"/>
      <c r="UA9" s="2"/>
      <c r="UB9" s="2"/>
      <c r="UC9" s="2"/>
      <c r="UD9" s="2"/>
      <c r="UE9" s="2"/>
      <c r="UF9" s="2"/>
      <c r="UG9" s="2"/>
      <c r="UH9" s="2"/>
      <c r="UI9" s="2"/>
      <c r="UJ9" s="2"/>
      <c r="UK9" s="2"/>
      <c r="UL9" s="2"/>
      <c r="UM9" s="2"/>
      <c r="UN9" s="2"/>
      <c r="UO9" s="2"/>
      <c r="UP9" s="2"/>
      <c r="UQ9" s="2"/>
      <c r="UR9" s="2"/>
      <c r="US9" s="2"/>
      <c r="UT9" s="2"/>
      <c r="UU9" s="2"/>
      <c r="UV9" s="2"/>
      <c r="UW9" s="2"/>
      <c r="UX9" s="2"/>
      <c r="UY9" s="2"/>
      <c r="UZ9" s="2"/>
      <c r="VA9" s="2"/>
      <c r="VB9" s="2"/>
      <c r="VC9" s="2"/>
      <c r="VD9" s="2"/>
      <c r="VE9" s="2"/>
      <c r="VF9" s="2"/>
      <c r="VG9" s="2"/>
      <c r="VH9" s="2"/>
      <c r="VI9" s="2"/>
      <c r="VJ9" s="2"/>
      <c r="VK9" s="2"/>
      <c r="VL9" s="2"/>
      <c r="VM9" s="2"/>
      <c r="VN9" s="2"/>
      <c r="VO9" s="2"/>
      <c r="VP9" s="2"/>
      <c r="VQ9" s="2"/>
      <c r="VR9" s="2"/>
      <c r="VS9" s="2"/>
      <c r="VT9" s="2"/>
      <c r="VU9" s="2"/>
      <c r="VV9" s="2"/>
      <c r="VW9" s="2"/>
      <c r="VX9" s="2"/>
      <c r="VY9" s="2"/>
      <c r="VZ9" s="2"/>
      <c r="WA9" s="2"/>
      <c r="WB9" s="2"/>
      <c r="WC9" s="2"/>
      <c r="WD9" s="2"/>
      <c r="WE9" s="2"/>
      <c r="WF9" s="2"/>
      <c r="WG9" s="2"/>
      <c r="WH9" s="2"/>
      <c r="WI9" s="2"/>
      <c r="WJ9" s="2"/>
      <c r="WK9" s="2"/>
      <c r="WL9" s="2"/>
      <c r="WM9" s="2"/>
      <c r="WN9" s="2"/>
      <c r="WO9" s="2"/>
      <c r="WP9" s="2"/>
      <c r="WQ9" s="2"/>
      <c r="WR9" s="2"/>
      <c r="WS9" s="2"/>
      <c r="WT9" s="2"/>
      <c r="WU9" s="2"/>
      <c r="WV9" s="2"/>
      <c r="WW9" s="2"/>
      <c r="WX9" s="2"/>
      <c r="WY9" s="2"/>
      <c r="WZ9" s="2"/>
      <c r="XA9" s="2"/>
      <c r="XB9" s="2"/>
      <c r="XC9" s="2"/>
      <c r="XD9" s="2"/>
      <c r="XE9" s="2"/>
      <c r="XF9" s="2"/>
      <c r="XG9" s="2"/>
      <c r="XH9" s="2"/>
      <c r="XI9" s="2"/>
      <c r="XJ9" s="2"/>
      <c r="XK9" s="2"/>
      <c r="XL9" s="2"/>
      <c r="XM9" s="2"/>
      <c r="XN9" s="2"/>
      <c r="XO9" s="2"/>
      <c r="XP9" s="2"/>
      <c r="XQ9" s="2"/>
      <c r="XR9" s="2"/>
      <c r="XS9" s="2"/>
      <c r="XT9" s="2"/>
      <c r="XU9" s="2"/>
      <c r="XV9" s="2"/>
      <c r="XW9" s="2"/>
      <c r="XX9" s="2"/>
      <c r="XY9" s="2"/>
      <c r="XZ9" s="2"/>
      <c r="YA9" s="2"/>
      <c r="YB9" s="2"/>
      <c r="YC9" s="2"/>
      <c r="YD9" s="2"/>
      <c r="YE9" s="2"/>
      <c r="YF9" s="2"/>
      <c r="YG9" s="2"/>
      <c r="YH9" s="2"/>
      <c r="YI9" s="2"/>
      <c r="YJ9" s="2"/>
      <c r="YK9" s="2"/>
      <c r="YL9" s="2"/>
      <c r="YM9" s="2"/>
      <c r="YN9" s="2"/>
      <c r="YO9" s="2"/>
      <c r="YP9" s="2"/>
      <c r="YQ9" s="2"/>
      <c r="YR9" s="2"/>
      <c r="YS9" s="2"/>
      <c r="YT9" s="2"/>
      <c r="YU9" s="2"/>
      <c r="YV9" s="2"/>
      <c r="YW9" s="2"/>
      <c r="YX9" s="2"/>
      <c r="YY9" s="2"/>
      <c r="YZ9" s="2"/>
      <c r="ZA9" s="2"/>
      <c r="ZB9" s="2"/>
      <c r="ZC9" s="2"/>
      <c r="ZD9" s="2"/>
      <c r="ZE9" s="2"/>
      <c r="ZF9" s="2"/>
      <c r="ZG9" s="2"/>
      <c r="ZH9" s="2"/>
      <c r="ZI9" s="2"/>
      <c r="ZJ9" s="2"/>
      <c r="ZK9" s="2"/>
      <c r="ZL9" s="2"/>
      <c r="ZM9" s="2"/>
      <c r="ZN9" s="2"/>
      <c r="ZO9" s="2"/>
      <c r="ZP9" s="2"/>
      <c r="ZQ9" s="2"/>
      <c r="ZR9" s="2"/>
      <c r="ZS9" s="2"/>
      <c r="ZT9" s="2"/>
      <c r="ZU9" s="2"/>
      <c r="ZV9" s="2"/>
      <c r="ZW9" s="2"/>
      <c r="ZX9" s="2"/>
      <c r="ZY9" s="2"/>
      <c r="ZZ9" s="2"/>
      <c r="AAA9" s="2"/>
      <c r="AAB9" s="2"/>
      <c r="AAC9" s="2"/>
      <c r="AAD9" s="2"/>
      <c r="AAE9" s="2"/>
      <c r="AAF9" s="2"/>
      <c r="AAG9" s="2"/>
      <c r="AAH9" s="2"/>
      <c r="AAI9" s="2"/>
      <c r="AAJ9" s="2"/>
      <c r="AAK9" s="2"/>
      <c r="AAL9" s="2"/>
      <c r="AAM9" s="2"/>
      <c r="AAN9" s="2"/>
      <c r="AAO9" s="2"/>
      <c r="AAP9" s="2"/>
      <c r="AAQ9" s="2"/>
      <c r="AAR9" s="2"/>
      <c r="AAS9" s="2"/>
      <c r="AAT9" s="2"/>
      <c r="AAU9" s="2"/>
      <c r="AAV9" s="2"/>
      <c r="AAW9" s="2"/>
      <c r="AAX9" s="2"/>
      <c r="AAY9" s="2"/>
      <c r="AAZ9" s="2"/>
      <c r="ABA9" s="2"/>
      <c r="ABB9" s="2"/>
      <c r="ABC9" s="2"/>
      <c r="ABD9" s="2"/>
      <c r="ABE9" s="2"/>
      <c r="ABF9" s="2"/>
      <c r="ABG9" s="2"/>
      <c r="ABH9" s="2"/>
      <c r="ABI9" s="2"/>
      <c r="ABJ9" s="2"/>
      <c r="ABK9" s="2"/>
      <c r="ABL9" s="2"/>
      <c r="ABM9" s="2"/>
      <c r="ABN9" s="2"/>
      <c r="ABO9" s="2"/>
      <c r="ABP9" s="2"/>
      <c r="ABQ9" s="2"/>
      <c r="ABR9" s="2"/>
      <c r="ABS9" s="2"/>
      <c r="ABT9" s="2"/>
      <c r="ABU9" s="2"/>
      <c r="ABV9" s="2"/>
      <c r="ABW9" s="2"/>
      <c r="ABX9" s="2"/>
      <c r="ABY9" s="2"/>
      <c r="ABZ9" s="2"/>
      <c r="ACA9" s="2"/>
      <c r="ACB9" s="2"/>
      <c r="ACC9" s="2"/>
      <c r="ACD9" s="2"/>
      <c r="ACE9" s="2"/>
      <c r="ACF9" s="2"/>
      <c r="ACG9" s="2"/>
      <c r="ACH9" s="2"/>
      <c r="ACI9" s="2"/>
      <c r="ACJ9" s="2"/>
      <c r="ACK9" s="2"/>
      <c r="ACL9" s="2"/>
      <c r="ACM9" s="2"/>
      <c r="ACN9" s="2"/>
      <c r="ACO9" s="2"/>
      <c r="ACP9" s="2"/>
      <c r="ACQ9" s="2"/>
      <c r="ACR9" s="2"/>
      <c r="ACS9" s="2"/>
      <c r="ACT9" s="2"/>
      <c r="ACU9" s="2"/>
      <c r="ACV9" s="2"/>
      <c r="ACW9" s="2"/>
      <c r="ACX9" s="2"/>
      <c r="ACY9" s="2"/>
      <c r="ACZ9" s="2"/>
      <c r="ADA9" s="2"/>
      <c r="ADB9" s="2"/>
      <c r="ADC9" s="2"/>
      <c r="ADD9" s="2"/>
      <c r="ADE9" s="2"/>
      <c r="ADF9" s="2"/>
      <c r="ADG9" s="2"/>
      <c r="ADH9" s="2"/>
      <c r="ADI9" s="2"/>
      <c r="ADJ9" s="2"/>
      <c r="ADK9" s="2"/>
      <c r="ADL9" s="2"/>
      <c r="ADM9" s="2"/>
      <c r="ADN9" s="2"/>
      <c r="ADO9" s="2"/>
      <c r="ADP9" s="2"/>
      <c r="ADQ9" s="2"/>
      <c r="ADR9" s="2"/>
      <c r="ADS9" s="2"/>
      <c r="ADT9" s="2"/>
      <c r="ADU9" s="2"/>
      <c r="ADV9" s="2"/>
      <c r="ADW9" s="2"/>
      <c r="ADX9" s="2"/>
      <c r="ADY9" s="2"/>
      <c r="ADZ9" s="2"/>
      <c r="AEA9" s="2"/>
      <c r="AEB9" s="2"/>
      <c r="AEC9" s="2"/>
      <c r="AED9" s="2"/>
      <c r="AEE9" s="2"/>
      <c r="AEF9" s="2"/>
      <c r="AEG9" s="2"/>
      <c r="AEH9" s="2"/>
      <c r="AEI9" s="2"/>
      <c r="AEJ9" s="2"/>
      <c r="AEK9" s="2"/>
      <c r="AEL9" s="2"/>
      <c r="AEM9" s="2"/>
      <c r="AEN9" s="2"/>
      <c r="AEO9" s="2"/>
      <c r="AEP9" s="2"/>
      <c r="AEQ9" s="2"/>
      <c r="AER9" s="2"/>
      <c r="AES9" s="2"/>
      <c r="AET9" s="2"/>
      <c r="AEU9" s="2"/>
      <c r="AEV9" s="2"/>
      <c r="AEW9" s="2"/>
      <c r="AEX9" s="2"/>
      <c r="AEY9" s="2"/>
      <c r="AEZ9" s="2"/>
      <c r="AFA9" s="2"/>
      <c r="AFB9" s="2"/>
      <c r="AFC9" s="2"/>
      <c r="AFD9" s="2"/>
      <c r="AFE9" s="2"/>
      <c r="AFF9" s="2"/>
      <c r="AFG9" s="2"/>
      <c r="AFH9" s="2"/>
      <c r="AFI9" s="2"/>
      <c r="AFJ9" s="2"/>
      <c r="AFK9" s="2"/>
      <c r="AFL9" s="2"/>
      <c r="AFM9" s="2"/>
      <c r="AFN9" s="2"/>
      <c r="AFO9" s="2"/>
      <c r="AFP9" s="2"/>
      <c r="AFQ9" s="2"/>
      <c r="AFR9" s="2"/>
      <c r="AFS9" s="2"/>
      <c r="AFT9" s="2"/>
      <c r="AFU9" s="2"/>
      <c r="AFV9" s="2"/>
      <c r="AFW9" s="2"/>
      <c r="AFX9" s="2"/>
      <c r="AFY9" s="2"/>
      <c r="AFZ9" s="2"/>
      <c r="AGA9" s="2"/>
      <c r="AGB9" s="2"/>
      <c r="AGC9" s="2"/>
      <c r="AGD9" s="2"/>
      <c r="AGE9" s="2"/>
      <c r="AGF9" s="2"/>
      <c r="AGG9" s="2"/>
      <c r="AGH9" s="2"/>
      <c r="AGI9" s="2"/>
      <c r="AGJ9" s="2"/>
      <c r="AGK9" s="2"/>
      <c r="AGL9" s="2"/>
      <c r="AGM9" s="2"/>
      <c r="AGN9" s="2"/>
      <c r="AGO9" s="2"/>
      <c r="AGP9" s="2"/>
      <c r="AGQ9" s="2"/>
      <c r="AGR9" s="2"/>
      <c r="AGS9" s="2"/>
      <c r="AGT9" s="2"/>
      <c r="AGU9" s="2"/>
      <c r="AGV9" s="2"/>
      <c r="AGW9" s="2"/>
      <c r="AGX9" s="2"/>
      <c r="AGY9" s="2"/>
      <c r="AGZ9" s="2"/>
      <c r="AHA9" s="2"/>
      <c r="AHB9" s="2"/>
      <c r="AHC9" s="2"/>
      <c r="AHD9" s="2"/>
      <c r="AHE9" s="2"/>
      <c r="AHF9" s="2"/>
      <c r="AHG9" s="2"/>
      <c r="AHH9" s="2"/>
      <c r="AHI9" s="2"/>
      <c r="AHJ9" s="2"/>
      <c r="AHK9" s="2"/>
      <c r="AHL9" s="2"/>
      <c r="AHM9" s="2"/>
      <c r="AHN9" s="2"/>
      <c r="AHO9" s="2"/>
      <c r="AHP9" s="2"/>
      <c r="AHQ9" s="2"/>
      <c r="AHR9" s="2"/>
      <c r="AHS9" s="2"/>
      <c r="AHT9" s="2"/>
      <c r="AHU9" s="2"/>
      <c r="AHV9" s="2"/>
      <c r="AHW9" s="2"/>
      <c r="AHX9" s="2"/>
      <c r="AHY9" s="2"/>
      <c r="AHZ9" s="2"/>
      <c r="AIA9" s="2"/>
      <c r="AIB9" s="2"/>
      <c r="AIC9" s="2"/>
      <c r="AID9" s="2"/>
      <c r="AIE9" s="2"/>
      <c r="AIF9" s="2"/>
      <c r="AIG9" s="2"/>
      <c r="AIH9" s="2"/>
      <c r="AII9" s="2"/>
      <c r="AIJ9" s="2"/>
      <c r="AIK9" s="2"/>
      <c r="AIL9" s="2"/>
      <c r="AIM9" s="2"/>
      <c r="AIN9" s="2"/>
      <c r="AIO9" s="2"/>
      <c r="AIP9" s="2"/>
      <c r="AIQ9" s="2"/>
      <c r="AIR9" s="2"/>
      <c r="AIS9" s="2"/>
      <c r="AIT9" s="2"/>
      <c r="AIU9" s="2"/>
      <c r="AIV9" s="2"/>
      <c r="AIW9" s="2"/>
      <c r="AIX9" s="2"/>
      <c r="AIY9" s="2"/>
      <c r="AIZ9" s="2"/>
      <c r="AJA9" s="2"/>
      <c r="AJB9" s="2"/>
      <c r="AJC9" s="2"/>
      <c r="AJD9" s="2"/>
      <c r="AJE9" s="2"/>
      <c r="AJF9" s="2"/>
      <c r="AJG9" s="2"/>
      <c r="AJH9" s="2"/>
      <c r="AJI9" s="2"/>
      <c r="AJJ9" s="2"/>
      <c r="AJK9" s="2"/>
      <c r="AJL9" s="2"/>
      <c r="AJM9" s="2"/>
      <c r="AJN9" s="2"/>
      <c r="AJO9" s="2"/>
      <c r="AJP9" s="2"/>
      <c r="AJQ9" s="2"/>
      <c r="AJR9" s="2"/>
      <c r="AJS9" s="2"/>
      <c r="AJT9" s="2"/>
      <c r="AJU9" s="2"/>
      <c r="AJV9" s="2"/>
      <c r="AJW9" s="2"/>
      <c r="AJX9" s="2"/>
      <c r="AJY9" s="2"/>
      <c r="AJZ9" s="2"/>
    </row>
    <row r="10" spans="1:962">
      <c r="A10" s="16">
        <v>9</v>
      </c>
      <c r="B10" s="16">
        <v>2</v>
      </c>
      <c r="C10" s="16">
        <v>14.29</v>
      </c>
      <c r="D10" s="9">
        <v>10.39</v>
      </c>
      <c r="E10" s="9">
        <v>3.05</v>
      </c>
      <c r="F10" s="9">
        <v>0.41</v>
      </c>
      <c r="G10" s="16">
        <v>151</v>
      </c>
      <c r="H10" s="17">
        <v>2</v>
      </c>
      <c r="I10" s="9">
        <f t="shared" si="0"/>
        <v>3.4065573770491806</v>
      </c>
      <c r="J10" s="9">
        <f t="shared" si="1"/>
        <v>0.13442622950819672</v>
      </c>
      <c r="K10" s="9">
        <f t="shared" si="2"/>
        <v>49.508196721311478</v>
      </c>
      <c r="L10" s="9">
        <f t="shared" si="3"/>
        <v>514.39016393442625</v>
      </c>
      <c r="M10" s="16">
        <v>8</v>
      </c>
      <c r="N10" s="16" t="s">
        <v>30</v>
      </c>
      <c r="O10" s="9">
        <v>6.64</v>
      </c>
      <c r="P10" s="9">
        <v>14.29</v>
      </c>
      <c r="Q10" s="9">
        <v>10.39</v>
      </c>
      <c r="R10" s="9">
        <v>3.05</v>
      </c>
      <c r="S10" s="9">
        <v>0.41</v>
      </c>
      <c r="T10" s="9">
        <v>0.43</v>
      </c>
      <c r="U10" s="9">
        <v>0.01</v>
      </c>
      <c r="V10" s="9">
        <v>0.01</v>
      </c>
      <c r="W10" s="18">
        <v>9.98</v>
      </c>
      <c r="X10" s="19">
        <v>137</v>
      </c>
      <c r="Y10" s="16">
        <v>0.44</v>
      </c>
      <c r="Z10" s="16">
        <v>151</v>
      </c>
      <c r="AA10" s="16">
        <v>0.2</v>
      </c>
      <c r="AB10" s="16">
        <v>0.02</v>
      </c>
      <c r="AC10" s="16">
        <v>161.69999999999999</v>
      </c>
      <c r="AD10" s="16">
        <v>4.8</v>
      </c>
      <c r="AE10" s="16">
        <v>126.4</v>
      </c>
      <c r="AF10" s="16">
        <v>2.5299999999999998</v>
      </c>
      <c r="AG10" s="16">
        <v>1.7</v>
      </c>
      <c r="AH10" s="16">
        <v>10.79</v>
      </c>
      <c r="AI10" s="16">
        <v>168.1</v>
      </c>
      <c r="AJ10" s="16">
        <v>16.2</v>
      </c>
      <c r="AK10" s="16">
        <v>50.1</v>
      </c>
      <c r="AL10" s="16">
        <v>80.47</v>
      </c>
      <c r="AM10" s="16">
        <v>29.97</v>
      </c>
      <c r="AN10" s="16">
        <v>1.06</v>
      </c>
      <c r="AO10" s="16">
        <v>0.157</v>
      </c>
      <c r="AP10" s="16">
        <v>13</v>
      </c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  <c r="JC10" s="2"/>
      <c r="JD10" s="2"/>
      <c r="JE10" s="2"/>
      <c r="JF10" s="2"/>
      <c r="JG10" s="2"/>
      <c r="JH10" s="2"/>
      <c r="JI10" s="2"/>
      <c r="JJ10" s="2"/>
      <c r="JK10" s="2"/>
      <c r="JL10" s="2"/>
      <c r="JM10" s="2"/>
      <c r="JN10" s="2"/>
      <c r="JO10" s="2"/>
      <c r="JP10" s="2"/>
      <c r="JQ10" s="2"/>
      <c r="JR10" s="2"/>
      <c r="JS10" s="2"/>
      <c r="JT10" s="2"/>
      <c r="JU10" s="2"/>
      <c r="JV10" s="2"/>
      <c r="JW10" s="2"/>
      <c r="JX10" s="2"/>
      <c r="JY10" s="2"/>
      <c r="JZ10" s="2"/>
      <c r="KA10" s="2"/>
      <c r="KB10" s="2"/>
      <c r="KC10" s="2"/>
      <c r="KD10" s="2"/>
      <c r="KE10" s="2"/>
      <c r="KF10" s="2"/>
      <c r="KG10" s="2"/>
      <c r="KH10" s="2"/>
      <c r="KI10" s="2"/>
      <c r="KJ10" s="2"/>
      <c r="KK10" s="2"/>
      <c r="KL10" s="2"/>
      <c r="KM10" s="2"/>
      <c r="KN10" s="2"/>
      <c r="KO10" s="2"/>
      <c r="KP10" s="2"/>
      <c r="KQ10" s="2"/>
      <c r="KR10" s="2"/>
      <c r="KS10" s="2"/>
      <c r="KT10" s="2"/>
      <c r="KU10" s="2"/>
      <c r="KV10" s="2"/>
      <c r="KW10" s="2"/>
      <c r="KX10" s="2"/>
      <c r="KY10" s="2"/>
      <c r="KZ10" s="2"/>
      <c r="LA10" s="2"/>
      <c r="LB10" s="2"/>
      <c r="LC10" s="2"/>
      <c r="LD10" s="2"/>
      <c r="LE10" s="2"/>
      <c r="LF10" s="2"/>
      <c r="LG10" s="2"/>
      <c r="LH10" s="2"/>
      <c r="LI10" s="2"/>
      <c r="LJ10" s="2"/>
      <c r="LK10" s="2"/>
      <c r="LL10" s="2"/>
      <c r="LM10" s="2"/>
      <c r="LN10" s="2"/>
      <c r="LO10" s="2"/>
      <c r="LP10" s="2"/>
      <c r="LQ10" s="2"/>
      <c r="LR10" s="2"/>
      <c r="LS10" s="2"/>
      <c r="LT10" s="2"/>
      <c r="LU10" s="2"/>
      <c r="LV10" s="2"/>
      <c r="LW10" s="2"/>
      <c r="LX10" s="2"/>
      <c r="LY10" s="2"/>
      <c r="LZ10" s="2"/>
      <c r="MA10" s="2"/>
      <c r="MB10" s="2"/>
      <c r="MC10" s="2"/>
      <c r="MD10" s="2"/>
      <c r="ME10" s="2"/>
      <c r="MF10" s="2"/>
      <c r="MG10" s="2"/>
      <c r="MH10" s="2"/>
      <c r="MI10" s="2"/>
      <c r="MJ10" s="2"/>
      <c r="MK10" s="2"/>
      <c r="ML10" s="2"/>
      <c r="MM10" s="2"/>
      <c r="MN10" s="2"/>
      <c r="MO10" s="2"/>
      <c r="MP10" s="2"/>
      <c r="MQ10" s="2"/>
      <c r="MR10" s="2"/>
      <c r="MS10" s="2"/>
      <c r="MT10" s="2"/>
      <c r="MU10" s="2"/>
      <c r="MV10" s="2"/>
      <c r="MW10" s="2"/>
      <c r="MX10" s="2"/>
      <c r="MY10" s="2"/>
      <c r="MZ10" s="2"/>
      <c r="NA10" s="2"/>
      <c r="NB10" s="2"/>
      <c r="NC10" s="2"/>
      <c r="ND10" s="2"/>
      <c r="NE10" s="2"/>
      <c r="NF10" s="2"/>
      <c r="NG10" s="2"/>
      <c r="NH10" s="2"/>
      <c r="NI10" s="2"/>
      <c r="NJ10" s="2"/>
      <c r="NK10" s="2"/>
      <c r="NL10" s="2"/>
      <c r="NM10" s="2"/>
      <c r="NN10" s="2"/>
      <c r="NO10" s="2"/>
      <c r="NP10" s="2"/>
      <c r="NQ10" s="2"/>
      <c r="NR10" s="2"/>
      <c r="NS10" s="2"/>
      <c r="NT10" s="2"/>
      <c r="NU10" s="2"/>
      <c r="NV10" s="2"/>
      <c r="NW10" s="2"/>
      <c r="NX10" s="2"/>
      <c r="NY10" s="2"/>
      <c r="NZ10" s="2"/>
      <c r="OA10" s="2"/>
      <c r="OB10" s="2"/>
      <c r="OC10" s="2"/>
      <c r="OD10" s="2"/>
      <c r="OE10" s="2"/>
      <c r="OF10" s="2"/>
      <c r="OG10" s="2"/>
      <c r="OH10" s="2"/>
      <c r="OI10" s="2"/>
      <c r="OJ10" s="2"/>
      <c r="OK10" s="2"/>
      <c r="OL10" s="2"/>
      <c r="OM10" s="2"/>
      <c r="ON10" s="2"/>
      <c r="OO10" s="2"/>
      <c r="OP10" s="2"/>
      <c r="OQ10" s="2"/>
      <c r="OR10" s="2"/>
      <c r="OS10" s="2"/>
      <c r="OT10" s="2"/>
      <c r="OU10" s="2"/>
      <c r="OV10" s="2"/>
      <c r="OW10" s="2"/>
      <c r="OX10" s="2"/>
      <c r="OY10" s="2"/>
      <c r="OZ10" s="2"/>
      <c r="PA10" s="2"/>
      <c r="PB10" s="2"/>
      <c r="PC10" s="2"/>
      <c r="PD10" s="2"/>
      <c r="PE10" s="2"/>
      <c r="PF10" s="2"/>
      <c r="PG10" s="2"/>
      <c r="PH10" s="2"/>
      <c r="PI10" s="2"/>
      <c r="PJ10" s="2"/>
      <c r="PK10" s="2"/>
      <c r="PL10" s="2"/>
      <c r="PM10" s="2"/>
      <c r="PN10" s="2"/>
      <c r="PO10" s="2"/>
      <c r="PP10" s="2"/>
      <c r="PQ10" s="2"/>
      <c r="PR10" s="2"/>
      <c r="PS10" s="2"/>
      <c r="PT10" s="2"/>
      <c r="PU10" s="2"/>
      <c r="PV10" s="2"/>
      <c r="PW10" s="2"/>
      <c r="PX10" s="2"/>
      <c r="PY10" s="2"/>
      <c r="PZ10" s="2"/>
      <c r="QA10" s="2"/>
      <c r="QB10" s="2"/>
      <c r="QC10" s="2"/>
      <c r="QD10" s="2"/>
      <c r="QE10" s="2"/>
      <c r="QF10" s="2"/>
      <c r="QG10" s="2"/>
      <c r="QH10" s="2"/>
      <c r="QI10" s="2"/>
      <c r="QJ10" s="2"/>
      <c r="QK10" s="2"/>
      <c r="QL10" s="2"/>
      <c r="QM10" s="2"/>
      <c r="QN10" s="2"/>
      <c r="QO10" s="2"/>
      <c r="QP10" s="2"/>
      <c r="QQ10" s="2"/>
      <c r="QR10" s="2"/>
      <c r="QS10" s="2"/>
      <c r="QT10" s="2"/>
      <c r="QU10" s="2"/>
      <c r="QV10" s="2"/>
      <c r="QW10" s="2"/>
      <c r="QX10" s="2"/>
      <c r="QY10" s="2"/>
      <c r="QZ10" s="2"/>
      <c r="RA10" s="2"/>
      <c r="RB10" s="2"/>
      <c r="RC10" s="2"/>
      <c r="RD10" s="2"/>
      <c r="RE10" s="2"/>
      <c r="RF10" s="2"/>
      <c r="RG10" s="2"/>
      <c r="RH10" s="2"/>
      <c r="RI10" s="2"/>
      <c r="RJ10" s="2"/>
      <c r="RK10" s="2"/>
      <c r="RL10" s="2"/>
      <c r="RM10" s="2"/>
      <c r="RN10" s="2"/>
      <c r="RO10" s="2"/>
      <c r="RP10" s="2"/>
      <c r="RQ10" s="2"/>
      <c r="RR10" s="2"/>
      <c r="RS10" s="2"/>
      <c r="RT10" s="2"/>
      <c r="RU10" s="2"/>
      <c r="RV10" s="2"/>
      <c r="RW10" s="2"/>
      <c r="RX10" s="2"/>
      <c r="RY10" s="2"/>
      <c r="RZ10" s="2"/>
      <c r="SA10" s="2"/>
      <c r="SB10" s="2"/>
      <c r="SC10" s="2"/>
      <c r="SD10" s="2"/>
      <c r="SE10" s="2"/>
      <c r="SF10" s="2"/>
      <c r="SG10" s="2"/>
      <c r="SH10" s="2"/>
      <c r="SI10" s="2"/>
      <c r="SJ10" s="2"/>
      <c r="SK10" s="2"/>
      <c r="SL10" s="2"/>
      <c r="SM10" s="2"/>
      <c r="SN10" s="2"/>
      <c r="SO10" s="2"/>
      <c r="SP10" s="2"/>
      <c r="SQ10" s="2"/>
      <c r="SR10" s="2"/>
      <c r="SS10" s="2"/>
      <c r="ST10" s="2"/>
      <c r="SU10" s="2"/>
      <c r="SV10" s="2"/>
      <c r="SW10" s="2"/>
      <c r="SX10" s="2"/>
      <c r="SY10" s="2"/>
      <c r="SZ10" s="2"/>
      <c r="TA10" s="2"/>
      <c r="TB10" s="2"/>
      <c r="TC10" s="2"/>
      <c r="TD10" s="2"/>
      <c r="TE10" s="2"/>
      <c r="TF10" s="2"/>
      <c r="TG10" s="2"/>
      <c r="TH10" s="2"/>
      <c r="TI10" s="2"/>
      <c r="TJ10" s="2"/>
      <c r="TK10" s="2"/>
      <c r="TL10" s="2"/>
      <c r="TM10" s="2"/>
      <c r="TN10" s="2"/>
      <c r="TO10" s="2"/>
      <c r="TP10" s="2"/>
      <c r="TQ10" s="2"/>
      <c r="TR10" s="2"/>
      <c r="TS10" s="2"/>
      <c r="TT10" s="2"/>
      <c r="TU10" s="2"/>
      <c r="TV10" s="2"/>
      <c r="TW10" s="2"/>
      <c r="TX10" s="2"/>
      <c r="TY10" s="2"/>
      <c r="TZ10" s="2"/>
      <c r="UA10" s="2"/>
      <c r="UB10" s="2"/>
      <c r="UC10" s="2"/>
      <c r="UD10" s="2"/>
      <c r="UE10" s="2"/>
      <c r="UF10" s="2"/>
      <c r="UG10" s="2"/>
      <c r="UH10" s="2"/>
      <c r="UI10" s="2"/>
      <c r="UJ10" s="2"/>
      <c r="UK10" s="2"/>
      <c r="UL10" s="2"/>
      <c r="UM10" s="2"/>
      <c r="UN10" s="2"/>
      <c r="UO10" s="2"/>
      <c r="UP10" s="2"/>
      <c r="UQ10" s="2"/>
      <c r="UR10" s="2"/>
      <c r="US10" s="2"/>
      <c r="UT10" s="2"/>
      <c r="UU10" s="2"/>
      <c r="UV10" s="2"/>
      <c r="UW10" s="2"/>
      <c r="UX10" s="2"/>
      <c r="UY10" s="2"/>
      <c r="UZ10" s="2"/>
      <c r="VA10" s="2"/>
      <c r="VB10" s="2"/>
      <c r="VC10" s="2"/>
      <c r="VD10" s="2"/>
      <c r="VE10" s="2"/>
      <c r="VF10" s="2"/>
      <c r="VG10" s="2"/>
      <c r="VH10" s="2"/>
      <c r="VI10" s="2"/>
      <c r="VJ10" s="2"/>
      <c r="VK10" s="2"/>
      <c r="VL10" s="2"/>
      <c r="VM10" s="2"/>
      <c r="VN10" s="2"/>
      <c r="VO10" s="2"/>
      <c r="VP10" s="2"/>
      <c r="VQ10" s="2"/>
      <c r="VR10" s="2"/>
      <c r="VS10" s="2"/>
      <c r="VT10" s="2"/>
      <c r="VU10" s="2"/>
      <c r="VV10" s="2"/>
      <c r="VW10" s="2"/>
      <c r="VX10" s="2"/>
      <c r="VY10" s="2"/>
      <c r="VZ10" s="2"/>
      <c r="WA10" s="2"/>
      <c r="WB10" s="2"/>
      <c r="WC10" s="2"/>
      <c r="WD10" s="2"/>
      <c r="WE10" s="2"/>
      <c r="WF10" s="2"/>
      <c r="WG10" s="2"/>
      <c r="WH10" s="2"/>
      <c r="WI10" s="2"/>
      <c r="WJ10" s="2"/>
      <c r="WK10" s="2"/>
      <c r="WL10" s="2"/>
      <c r="WM10" s="2"/>
      <c r="WN10" s="2"/>
      <c r="WO10" s="2"/>
      <c r="WP10" s="2"/>
      <c r="WQ10" s="2"/>
      <c r="WR10" s="2"/>
      <c r="WS10" s="2"/>
      <c r="WT10" s="2"/>
      <c r="WU10" s="2"/>
      <c r="WV10" s="2"/>
      <c r="WW10" s="2"/>
      <c r="WX10" s="2"/>
      <c r="WY10" s="2"/>
      <c r="WZ10" s="2"/>
      <c r="XA10" s="2"/>
      <c r="XB10" s="2"/>
      <c r="XC10" s="2"/>
      <c r="XD10" s="2"/>
      <c r="XE10" s="2"/>
      <c r="XF10" s="2"/>
      <c r="XG10" s="2"/>
      <c r="XH10" s="2"/>
      <c r="XI10" s="2"/>
      <c r="XJ10" s="2"/>
      <c r="XK10" s="2"/>
      <c r="XL10" s="2"/>
      <c r="XM10" s="2"/>
      <c r="XN10" s="2"/>
      <c r="XO10" s="2"/>
      <c r="XP10" s="2"/>
      <c r="XQ10" s="2"/>
      <c r="XR10" s="2"/>
      <c r="XS10" s="2"/>
      <c r="XT10" s="2"/>
      <c r="XU10" s="2"/>
      <c r="XV10" s="2"/>
      <c r="XW10" s="2"/>
      <c r="XX10" s="2"/>
      <c r="XY10" s="2"/>
      <c r="XZ10" s="2"/>
      <c r="YA10" s="2"/>
      <c r="YB10" s="2"/>
      <c r="YC10" s="2"/>
      <c r="YD10" s="2"/>
      <c r="YE10" s="2"/>
      <c r="YF10" s="2"/>
      <c r="YG10" s="2"/>
      <c r="YH10" s="2"/>
      <c r="YI10" s="2"/>
      <c r="YJ10" s="2"/>
      <c r="YK10" s="2"/>
      <c r="YL10" s="2"/>
      <c r="YM10" s="2"/>
      <c r="YN10" s="2"/>
      <c r="YO10" s="2"/>
      <c r="YP10" s="2"/>
      <c r="YQ10" s="2"/>
      <c r="YR10" s="2"/>
      <c r="YS10" s="2"/>
      <c r="YT10" s="2"/>
      <c r="YU10" s="2"/>
      <c r="YV10" s="2"/>
      <c r="YW10" s="2"/>
      <c r="YX10" s="2"/>
      <c r="YY10" s="2"/>
      <c r="YZ10" s="2"/>
      <c r="ZA10" s="2"/>
      <c r="ZB10" s="2"/>
      <c r="ZC10" s="2"/>
      <c r="ZD10" s="2"/>
      <c r="ZE10" s="2"/>
      <c r="ZF10" s="2"/>
      <c r="ZG10" s="2"/>
      <c r="ZH10" s="2"/>
      <c r="ZI10" s="2"/>
      <c r="ZJ10" s="2"/>
      <c r="ZK10" s="2"/>
      <c r="ZL10" s="2"/>
      <c r="ZM10" s="2"/>
      <c r="ZN10" s="2"/>
      <c r="ZO10" s="2"/>
      <c r="ZP10" s="2"/>
      <c r="ZQ10" s="2"/>
      <c r="ZR10" s="2"/>
      <c r="ZS10" s="2"/>
      <c r="ZT10" s="2"/>
      <c r="ZU10" s="2"/>
      <c r="ZV10" s="2"/>
      <c r="ZW10" s="2"/>
      <c r="ZX10" s="2"/>
      <c r="ZY10" s="2"/>
      <c r="ZZ10" s="2"/>
      <c r="AAA10" s="2"/>
      <c r="AAB10" s="2"/>
      <c r="AAC10" s="2"/>
      <c r="AAD10" s="2"/>
      <c r="AAE10" s="2"/>
      <c r="AAF10" s="2"/>
      <c r="AAG10" s="2"/>
      <c r="AAH10" s="2"/>
      <c r="AAI10" s="2"/>
      <c r="AAJ10" s="2"/>
      <c r="AAK10" s="2"/>
      <c r="AAL10" s="2"/>
      <c r="AAM10" s="2"/>
      <c r="AAN10" s="2"/>
      <c r="AAO10" s="2"/>
      <c r="AAP10" s="2"/>
      <c r="AAQ10" s="2"/>
      <c r="AAR10" s="2"/>
      <c r="AAS10" s="2"/>
      <c r="AAT10" s="2"/>
      <c r="AAU10" s="2"/>
      <c r="AAV10" s="2"/>
      <c r="AAW10" s="2"/>
      <c r="AAX10" s="2"/>
      <c r="AAY10" s="2"/>
      <c r="AAZ10" s="2"/>
      <c r="ABA10" s="2"/>
      <c r="ABB10" s="2"/>
      <c r="ABC10" s="2"/>
      <c r="ABD10" s="2"/>
      <c r="ABE10" s="2"/>
      <c r="ABF10" s="2"/>
      <c r="ABG10" s="2"/>
      <c r="ABH10" s="2"/>
      <c r="ABI10" s="2"/>
      <c r="ABJ10" s="2"/>
      <c r="ABK10" s="2"/>
      <c r="ABL10" s="2"/>
      <c r="ABM10" s="2"/>
      <c r="ABN10" s="2"/>
      <c r="ABO10" s="2"/>
      <c r="ABP10" s="2"/>
      <c r="ABQ10" s="2"/>
      <c r="ABR10" s="2"/>
      <c r="ABS10" s="2"/>
      <c r="ABT10" s="2"/>
      <c r="ABU10" s="2"/>
      <c r="ABV10" s="2"/>
      <c r="ABW10" s="2"/>
      <c r="ABX10" s="2"/>
      <c r="ABY10" s="2"/>
      <c r="ABZ10" s="2"/>
      <c r="ACA10" s="2"/>
      <c r="ACB10" s="2"/>
      <c r="ACC10" s="2"/>
      <c r="ACD10" s="2"/>
      <c r="ACE10" s="2"/>
      <c r="ACF10" s="2"/>
      <c r="ACG10" s="2"/>
      <c r="ACH10" s="2"/>
      <c r="ACI10" s="2"/>
      <c r="ACJ10" s="2"/>
      <c r="ACK10" s="2"/>
      <c r="ACL10" s="2"/>
      <c r="ACM10" s="2"/>
      <c r="ACN10" s="2"/>
      <c r="ACO10" s="2"/>
      <c r="ACP10" s="2"/>
      <c r="ACQ10" s="2"/>
      <c r="ACR10" s="2"/>
      <c r="ACS10" s="2"/>
      <c r="ACT10" s="2"/>
      <c r="ACU10" s="2"/>
      <c r="ACV10" s="2"/>
      <c r="ACW10" s="2"/>
      <c r="ACX10" s="2"/>
      <c r="ACY10" s="2"/>
      <c r="ACZ10" s="2"/>
      <c r="ADA10" s="2"/>
      <c r="ADB10" s="2"/>
      <c r="ADC10" s="2"/>
      <c r="ADD10" s="2"/>
      <c r="ADE10" s="2"/>
      <c r="ADF10" s="2"/>
      <c r="ADG10" s="2"/>
      <c r="ADH10" s="2"/>
      <c r="ADI10" s="2"/>
      <c r="ADJ10" s="2"/>
      <c r="ADK10" s="2"/>
      <c r="ADL10" s="2"/>
      <c r="ADM10" s="2"/>
      <c r="ADN10" s="2"/>
      <c r="ADO10" s="2"/>
      <c r="ADP10" s="2"/>
      <c r="ADQ10" s="2"/>
      <c r="ADR10" s="2"/>
      <c r="ADS10" s="2"/>
      <c r="ADT10" s="2"/>
      <c r="ADU10" s="2"/>
      <c r="ADV10" s="2"/>
      <c r="ADW10" s="2"/>
      <c r="ADX10" s="2"/>
      <c r="ADY10" s="2"/>
      <c r="ADZ10" s="2"/>
      <c r="AEA10" s="2"/>
      <c r="AEB10" s="2"/>
      <c r="AEC10" s="2"/>
      <c r="AED10" s="2"/>
      <c r="AEE10" s="2"/>
      <c r="AEF10" s="2"/>
      <c r="AEG10" s="2"/>
      <c r="AEH10" s="2"/>
      <c r="AEI10" s="2"/>
      <c r="AEJ10" s="2"/>
      <c r="AEK10" s="2"/>
      <c r="AEL10" s="2"/>
      <c r="AEM10" s="2"/>
      <c r="AEN10" s="2"/>
      <c r="AEO10" s="2"/>
      <c r="AEP10" s="2"/>
      <c r="AEQ10" s="2"/>
      <c r="AER10" s="2"/>
      <c r="AES10" s="2"/>
      <c r="AET10" s="2"/>
      <c r="AEU10" s="2"/>
      <c r="AEV10" s="2"/>
      <c r="AEW10" s="2"/>
      <c r="AEX10" s="2"/>
      <c r="AEY10" s="2"/>
      <c r="AEZ10" s="2"/>
      <c r="AFA10" s="2"/>
      <c r="AFB10" s="2"/>
      <c r="AFC10" s="2"/>
      <c r="AFD10" s="2"/>
      <c r="AFE10" s="2"/>
      <c r="AFF10" s="2"/>
      <c r="AFG10" s="2"/>
      <c r="AFH10" s="2"/>
      <c r="AFI10" s="2"/>
      <c r="AFJ10" s="2"/>
      <c r="AFK10" s="2"/>
      <c r="AFL10" s="2"/>
      <c r="AFM10" s="2"/>
      <c r="AFN10" s="2"/>
      <c r="AFO10" s="2"/>
      <c r="AFP10" s="2"/>
      <c r="AFQ10" s="2"/>
      <c r="AFR10" s="2"/>
      <c r="AFS10" s="2"/>
      <c r="AFT10" s="2"/>
      <c r="AFU10" s="2"/>
      <c r="AFV10" s="2"/>
      <c r="AFW10" s="2"/>
      <c r="AFX10" s="2"/>
      <c r="AFY10" s="2"/>
      <c r="AFZ10" s="2"/>
      <c r="AGA10" s="2"/>
      <c r="AGB10" s="2"/>
      <c r="AGC10" s="2"/>
      <c r="AGD10" s="2"/>
      <c r="AGE10" s="2"/>
      <c r="AGF10" s="2"/>
      <c r="AGG10" s="2"/>
      <c r="AGH10" s="2"/>
      <c r="AGI10" s="2"/>
      <c r="AGJ10" s="2"/>
      <c r="AGK10" s="2"/>
      <c r="AGL10" s="2"/>
      <c r="AGM10" s="2"/>
      <c r="AGN10" s="2"/>
      <c r="AGO10" s="2"/>
      <c r="AGP10" s="2"/>
      <c r="AGQ10" s="2"/>
      <c r="AGR10" s="2"/>
      <c r="AGS10" s="2"/>
      <c r="AGT10" s="2"/>
      <c r="AGU10" s="2"/>
      <c r="AGV10" s="2"/>
      <c r="AGW10" s="2"/>
      <c r="AGX10" s="2"/>
      <c r="AGY10" s="2"/>
      <c r="AGZ10" s="2"/>
      <c r="AHA10" s="2"/>
      <c r="AHB10" s="2"/>
      <c r="AHC10" s="2"/>
      <c r="AHD10" s="2"/>
      <c r="AHE10" s="2"/>
      <c r="AHF10" s="2"/>
      <c r="AHG10" s="2"/>
      <c r="AHH10" s="2"/>
      <c r="AHI10" s="2"/>
      <c r="AHJ10" s="2"/>
      <c r="AHK10" s="2"/>
      <c r="AHL10" s="2"/>
      <c r="AHM10" s="2"/>
      <c r="AHN10" s="2"/>
      <c r="AHO10" s="2"/>
      <c r="AHP10" s="2"/>
      <c r="AHQ10" s="2"/>
      <c r="AHR10" s="2"/>
      <c r="AHS10" s="2"/>
      <c r="AHT10" s="2"/>
      <c r="AHU10" s="2"/>
      <c r="AHV10" s="2"/>
      <c r="AHW10" s="2"/>
      <c r="AHX10" s="2"/>
      <c r="AHY10" s="2"/>
      <c r="AHZ10" s="2"/>
      <c r="AIA10" s="2"/>
      <c r="AIB10" s="2"/>
      <c r="AIC10" s="2"/>
      <c r="AID10" s="2"/>
      <c r="AIE10" s="2"/>
      <c r="AIF10" s="2"/>
      <c r="AIG10" s="2"/>
      <c r="AIH10" s="2"/>
      <c r="AII10" s="2"/>
      <c r="AIJ10" s="2"/>
      <c r="AIK10" s="2"/>
      <c r="AIL10" s="2"/>
      <c r="AIM10" s="2"/>
      <c r="AIN10" s="2"/>
      <c r="AIO10" s="2"/>
      <c r="AIP10" s="2"/>
      <c r="AIQ10" s="2"/>
      <c r="AIR10" s="2"/>
      <c r="AIS10" s="2"/>
      <c r="AIT10" s="2"/>
      <c r="AIU10" s="2"/>
      <c r="AIV10" s="2"/>
      <c r="AIW10" s="2"/>
      <c r="AIX10" s="2"/>
      <c r="AIY10" s="2"/>
      <c r="AIZ10" s="2"/>
      <c r="AJA10" s="2"/>
      <c r="AJB10" s="2"/>
      <c r="AJC10" s="2"/>
      <c r="AJD10" s="2"/>
      <c r="AJE10" s="2"/>
      <c r="AJF10" s="2"/>
      <c r="AJG10" s="2"/>
      <c r="AJH10" s="2"/>
      <c r="AJI10" s="2"/>
      <c r="AJJ10" s="2"/>
      <c r="AJK10" s="2"/>
      <c r="AJL10" s="2"/>
      <c r="AJM10" s="2"/>
      <c r="AJN10" s="2"/>
      <c r="AJO10" s="2"/>
      <c r="AJP10" s="2"/>
      <c r="AJQ10" s="2"/>
      <c r="AJR10" s="2"/>
      <c r="AJS10" s="2"/>
      <c r="AJT10" s="2"/>
      <c r="AJU10" s="2"/>
      <c r="AJV10" s="2"/>
      <c r="AJW10" s="2"/>
      <c r="AJX10" s="2"/>
      <c r="AJY10" s="2"/>
      <c r="AJZ10" s="2"/>
    </row>
    <row r="11" spans="1:962">
      <c r="A11" s="16">
        <v>10</v>
      </c>
      <c r="B11" s="16">
        <v>2</v>
      </c>
      <c r="C11" s="16">
        <v>9.8699999999999992</v>
      </c>
      <c r="D11" s="9">
        <v>5.48</v>
      </c>
      <c r="E11" s="9">
        <v>3.55</v>
      </c>
      <c r="F11" s="9">
        <v>0.21</v>
      </c>
      <c r="G11" s="16">
        <v>344</v>
      </c>
      <c r="H11" s="17">
        <v>2</v>
      </c>
      <c r="I11" s="9">
        <f t="shared" si="0"/>
        <v>1.5436619718309861</v>
      </c>
      <c r="J11" s="9">
        <f t="shared" si="1"/>
        <v>5.9154929577464786E-2</v>
      </c>
      <c r="K11" s="9">
        <f t="shared" si="2"/>
        <v>96.901408450704224</v>
      </c>
      <c r="L11" s="9">
        <f t="shared" si="3"/>
        <v>531.01971830985917</v>
      </c>
      <c r="M11" s="16">
        <v>11</v>
      </c>
      <c r="N11" s="7" t="s">
        <v>31</v>
      </c>
      <c r="O11" s="9">
        <v>4.5999999999999996</v>
      </c>
      <c r="P11" s="16">
        <v>9.8699999999999992</v>
      </c>
      <c r="Q11" s="9">
        <v>5.48</v>
      </c>
      <c r="R11" s="9">
        <v>3.55</v>
      </c>
      <c r="S11" s="9">
        <v>0.21</v>
      </c>
      <c r="T11" s="9"/>
      <c r="U11" s="9"/>
      <c r="V11" s="9"/>
      <c r="W11" s="9">
        <v>6.74</v>
      </c>
      <c r="X11" s="20">
        <v>105</v>
      </c>
      <c r="Y11" s="9">
        <v>0.34</v>
      </c>
      <c r="Z11" s="16"/>
      <c r="AA11" s="16">
        <v>0.4</v>
      </c>
      <c r="AB11" s="16">
        <v>0.03</v>
      </c>
      <c r="AC11" s="9">
        <v>157.4</v>
      </c>
      <c r="AD11" s="9">
        <v>4.5199999999999996</v>
      </c>
      <c r="AE11" s="9">
        <v>122.7</v>
      </c>
      <c r="AF11" s="9">
        <v>2.6</v>
      </c>
      <c r="AG11" s="9">
        <v>1.54</v>
      </c>
      <c r="AH11" s="9">
        <v>13.85</v>
      </c>
      <c r="AI11" s="9">
        <v>187.9</v>
      </c>
      <c r="AJ11" s="9">
        <v>21.8</v>
      </c>
      <c r="AK11" s="9">
        <v>67.7</v>
      </c>
      <c r="AL11" s="9">
        <v>71.31</v>
      </c>
      <c r="AM11" s="9">
        <v>32.47</v>
      </c>
      <c r="AN11" s="16">
        <v>1.034</v>
      </c>
      <c r="AO11" s="16">
        <v>8.3000000000000004E-2</v>
      </c>
      <c r="AP11" s="21">
        <v>10</v>
      </c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/>
      <c r="DW11" s="5"/>
      <c r="DX11" s="5"/>
      <c r="DY11" s="5"/>
      <c r="DZ11" s="5"/>
      <c r="EA11" s="5"/>
      <c r="EB11" s="5"/>
      <c r="EC11" s="5"/>
      <c r="ED11" s="5"/>
      <c r="EE11" s="5"/>
      <c r="EF11" s="5"/>
      <c r="EG11" s="5"/>
      <c r="EH11" s="5"/>
      <c r="EI11" s="5"/>
      <c r="EJ11" s="5"/>
      <c r="EK11" s="5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  <c r="FE11" s="5"/>
      <c r="FF11" s="5"/>
      <c r="FG11" s="5"/>
      <c r="FH11" s="5"/>
      <c r="FI11" s="5"/>
      <c r="FJ11" s="5"/>
      <c r="FK11" s="5"/>
      <c r="FL11" s="5"/>
      <c r="FM11" s="5"/>
      <c r="FN11" s="5"/>
      <c r="FO11" s="5"/>
      <c r="FP11" s="5"/>
      <c r="FQ11" s="5"/>
      <c r="FR11" s="5"/>
      <c r="FS11" s="5"/>
      <c r="FT11" s="5"/>
      <c r="FU11" s="5"/>
      <c r="FV11" s="5"/>
      <c r="FW11" s="5"/>
      <c r="FX11" s="5"/>
      <c r="FY11" s="5"/>
      <c r="FZ11" s="5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  <c r="JC11" s="2"/>
      <c r="JD11" s="2"/>
      <c r="JE11" s="2"/>
      <c r="JF11" s="2"/>
      <c r="JG11" s="2"/>
      <c r="JH11" s="2"/>
      <c r="JI11" s="2"/>
      <c r="JJ11" s="2"/>
      <c r="JK11" s="2"/>
      <c r="JL11" s="2"/>
      <c r="JM11" s="2"/>
      <c r="JN11" s="2"/>
      <c r="JO11" s="2"/>
      <c r="JP11" s="2"/>
      <c r="JQ11" s="2"/>
      <c r="JR11" s="2"/>
      <c r="JS11" s="2"/>
      <c r="JT11" s="2"/>
      <c r="JU11" s="2"/>
      <c r="JV11" s="2"/>
      <c r="JW11" s="2"/>
      <c r="JX11" s="2"/>
      <c r="JY11" s="2"/>
      <c r="JZ11" s="2"/>
      <c r="KA11" s="2"/>
      <c r="KB11" s="2"/>
      <c r="KC11" s="2"/>
      <c r="KD11" s="2"/>
      <c r="KE11" s="2"/>
      <c r="KF11" s="2"/>
      <c r="KG11" s="2"/>
      <c r="KH11" s="2"/>
      <c r="KI11" s="2"/>
      <c r="KJ11" s="2"/>
      <c r="KK11" s="2"/>
      <c r="KL11" s="2"/>
      <c r="KM11" s="2"/>
      <c r="KN11" s="2"/>
      <c r="KO11" s="2"/>
      <c r="KP11" s="2"/>
      <c r="KQ11" s="2"/>
      <c r="KR11" s="2"/>
      <c r="KS11" s="2"/>
      <c r="KT11" s="2"/>
      <c r="KU11" s="2"/>
      <c r="KV11" s="2"/>
      <c r="KW11" s="2"/>
      <c r="KX11" s="2"/>
      <c r="KY11" s="2"/>
      <c r="KZ11" s="2"/>
      <c r="LA11" s="2"/>
      <c r="LB11" s="2"/>
      <c r="LC11" s="2"/>
      <c r="LD11" s="2"/>
      <c r="LE11" s="2"/>
      <c r="LF11" s="2"/>
      <c r="LG11" s="2"/>
      <c r="LH11" s="2"/>
      <c r="LI11" s="2"/>
      <c r="LJ11" s="2"/>
      <c r="LK11" s="2"/>
      <c r="LL11" s="2"/>
      <c r="LM11" s="2"/>
      <c r="LN11" s="2"/>
      <c r="LO11" s="2"/>
      <c r="LP11" s="2"/>
      <c r="LQ11" s="2"/>
      <c r="LR11" s="2"/>
      <c r="LS11" s="2"/>
      <c r="LT11" s="2"/>
      <c r="LU11" s="2"/>
      <c r="LV11" s="2"/>
      <c r="LW11" s="2"/>
      <c r="LX11" s="2"/>
      <c r="LY11" s="2"/>
      <c r="LZ11" s="2"/>
      <c r="MA11" s="2"/>
      <c r="MB11" s="2"/>
      <c r="MC11" s="2"/>
      <c r="MD11" s="2"/>
      <c r="ME11" s="2"/>
      <c r="MF11" s="2"/>
      <c r="MG11" s="2"/>
      <c r="MH11" s="2"/>
      <c r="MI11" s="2"/>
      <c r="MJ11" s="2"/>
      <c r="MK11" s="2"/>
      <c r="ML11" s="2"/>
      <c r="MM11" s="2"/>
      <c r="MN11" s="2"/>
      <c r="MO11" s="2"/>
      <c r="MP11" s="2"/>
      <c r="MQ11" s="2"/>
      <c r="MR11" s="2"/>
      <c r="MS11" s="2"/>
      <c r="MT11" s="2"/>
      <c r="MU11" s="2"/>
      <c r="MV11" s="2"/>
      <c r="MW11" s="2"/>
      <c r="MX11" s="2"/>
      <c r="MY11" s="2"/>
      <c r="MZ11" s="2"/>
      <c r="NA11" s="2"/>
      <c r="NB11" s="2"/>
      <c r="NC11" s="2"/>
      <c r="ND11" s="2"/>
      <c r="NE11" s="2"/>
      <c r="NF11" s="2"/>
      <c r="NG11" s="2"/>
      <c r="NH11" s="2"/>
      <c r="NI11" s="2"/>
      <c r="NJ11" s="2"/>
      <c r="NK11" s="2"/>
      <c r="NL11" s="2"/>
      <c r="NM11" s="2"/>
      <c r="NN11" s="2"/>
      <c r="NO11" s="2"/>
      <c r="NP11" s="2"/>
      <c r="NQ11" s="2"/>
      <c r="NR11" s="2"/>
      <c r="NS11" s="2"/>
      <c r="NT11" s="2"/>
      <c r="NU11" s="2"/>
      <c r="NV11" s="2"/>
      <c r="NW11" s="2"/>
      <c r="NX11" s="2"/>
      <c r="NY11" s="2"/>
      <c r="NZ11" s="2"/>
      <c r="OA11" s="2"/>
      <c r="OB11" s="2"/>
      <c r="OC11" s="2"/>
      <c r="OD11" s="2"/>
      <c r="OE11" s="2"/>
      <c r="OF11" s="2"/>
      <c r="OG11" s="2"/>
      <c r="OH11" s="2"/>
      <c r="OI11" s="2"/>
      <c r="OJ11" s="2"/>
      <c r="OK11" s="2"/>
      <c r="OL11" s="2"/>
      <c r="OM11" s="2"/>
      <c r="ON11" s="2"/>
      <c r="OO11" s="2"/>
      <c r="OP11" s="2"/>
      <c r="OQ11" s="2"/>
      <c r="OR11" s="2"/>
      <c r="OS11" s="2"/>
      <c r="OT11" s="2"/>
      <c r="OU11" s="2"/>
      <c r="OV11" s="2"/>
      <c r="OW11" s="2"/>
      <c r="OX11" s="2"/>
      <c r="OY11" s="2"/>
      <c r="OZ11" s="2"/>
      <c r="PA11" s="2"/>
      <c r="PB11" s="2"/>
      <c r="PC11" s="2"/>
      <c r="PD11" s="2"/>
      <c r="PE11" s="2"/>
      <c r="PF11" s="2"/>
      <c r="PG11" s="2"/>
      <c r="PH11" s="2"/>
      <c r="PI11" s="2"/>
      <c r="PJ11" s="2"/>
      <c r="PK11" s="2"/>
      <c r="PL11" s="2"/>
      <c r="PM11" s="2"/>
      <c r="PN11" s="2"/>
      <c r="PO11" s="2"/>
      <c r="PP11" s="2"/>
      <c r="PQ11" s="2"/>
      <c r="PR11" s="2"/>
      <c r="PS11" s="2"/>
      <c r="PT11" s="2"/>
      <c r="PU11" s="2"/>
      <c r="PV11" s="2"/>
      <c r="PW11" s="2"/>
      <c r="PX11" s="2"/>
      <c r="PY11" s="2"/>
      <c r="PZ11" s="2"/>
      <c r="QA11" s="2"/>
      <c r="QB11" s="2"/>
      <c r="QC11" s="2"/>
      <c r="QD11" s="2"/>
      <c r="QE11" s="2"/>
      <c r="QF11" s="2"/>
      <c r="QG11" s="2"/>
      <c r="QH11" s="2"/>
      <c r="QI11" s="2"/>
      <c r="QJ11" s="2"/>
      <c r="QK11" s="2"/>
      <c r="QL11" s="2"/>
      <c r="QM11" s="2"/>
      <c r="QN11" s="2"/>
      <c r="QO11" s="2"/>
      <c r="QP11" s="2"/>
      <c r="QQ11" s="2"/>
      <c r="QR11" s="2"/>
      <c r="QS11" s="2"/>
      <c r="QT11" s="2"/>
      <c r="QU11" s="2"/>
      <c r="QV11" s="2"/>
      <c r="QW11" s="2"/>
      <c r="QX11" s="2"/>
      <c r="QY11" s="2"/>
      <c r="QZ11" s="2"/>
      <c r="RA11" s="2"/>
      <c r="RB11" s="2"/>
      <c r="RC11" s="2"/>
      <c r="RD11" s="2"/>
      <c r="RE11" s="2"/>
      <c r="RF11" s="2"/>
      <c r="RG11" s="2"/>
      <c r="RH11" s="2"/>
      <c r="RI11" s="2"/>
      <c r="RJ11" s="2"/>
      <c r="RK11" s="2"/>
      <c r="RL11" s="2"/>
      <c r="RM11" s="2"/>
      <c r="RN11" s="2"/>
      <c r="RO11" s="2"/>
      <c r="RP11" s="2"/>
      <c r="RQ11" s="2"/>
      <c r="RR11" s="2"/>
      <c r="RS11" s="2"/>
      <c r="RT11" s="2"/>
      <c r="RU11" s="2"/>
      <c r="RV11" s="2"/>
      <c r="RW11" s="2"/>
      <c r="RX11" s="2"/>
      <c r="RY11" s="2"/>
      <c r="RZ11" s="2"/>
      <c r="SA11" s="2"/>
      <c r="SB11" s="2"/>
      <c r="SC11" s="2"/>
      <c r="SD11" s="2"/>
      <c r="SE11" s="2"/>
      <c r="SF11" s="2"/>
      <c r="SG11" s="2"/>
      <c r="SH11" s="2"/>
      <c r="SI11" s="2"/>
      <c r="SJ11" s="2"/>
      <c r="SK11" s="2"/>
      <c r="SL11" s="2"/>
      <c r="SM11" s="2"/>
      <c r="SN11" s="2"/>
      <c r="SO11" s="2"/>
      <c r="SP11" s="2"/>
      <c r="SQ11" s="2"/>
      <c r="SR11" s="2"/>
      <c r="SS11" s="2"/>
      <c r="ST11" s="2"/>
      <c r="SU11" s="2"/>
      <c r="SV11" s="2"/>
      <c r="SW11" s="2"/>
      <c r="SX11" s="2"/>
      <c r="SY11" s="2"/>
      <c r="SZ11" s="2"/>
      <c r="TA11" s="2"/>
      <c r="TB11" s="2"/>
      <c r="TC11" s="2"/>
      <c r="TD11" s="2"/>
      <c r="TE11" s="2"/>
      <c r="TF11" s="2"/>
      <c r="TG11" s="2"/>
      <c r="TH11" s="2"/>
      <c r="TI11" s="2"/>
      <c r="TJ11" s="2"/>
      <c r="TK11" s="2"/>
      <c r="TL11" s="2"/>
      <c r="TM11" s="2"/>
      <c r="TN11" s="2"/>
      <c r="TO11" s="2"/>
      <c r="TP11" s="2"/>
      <c r="TQ11" s="2"/>
      <c r="TR11" s="2"/>
      <c r="TS11" s="2"/>
      <c r="TT11" s="2"/>
      <c r="TU11" s="2"/>
      <c r="TV11" s="2"/>
      <c r="TW11" s="2"/>
      <c r="TX11" s="2"/>
      <c r="TY11" s="2"/>
      <c r="TZ11" s="2"/>
      <c r="UA11" s="2"/>
      <c r="UB11" s="2"/>
      <c r="UC11" s="2"/>
      <c r="UD11" s="2"/>
      <c r="UE11" s="2"/>
      <c r="UF11" s="2"/>
      <c r="UG11" s="2"/>
      <c r="UH11" s="2"/>
      <c r="UI11" s="2"/>
      <c r="UJ11" s="2"/>
      <c r="UK11" s="2"/>
      <c r="UL11" s="2"/>
      <c r="UM11" s="2"/>
      <c r="UN11" s="2"/>
      <c r="UO11" s="2"/>
      <c r="UP11" s="2"/>
      <c r="UQ11" s="2"/>
      <c r="UR11" s="2"/>
      <c r="US11" s="2"/>
      <c r="UT11" s="2"/>
      <c r="UU11" s="2"/>
      <c r="UV11" s="2"/>
      <c r="UW11" s="2"/>
      <c r="UX11" s="2"/>
      <c r="UY11" s="2"/>
      <c r="UZ11" s="2"/>
      <c r="VA11" s="2"/>
      <c r="VB11" s="2"/>
      <c r="VC11" s="2"/>
      <c r="VD11" s="2"/>
      <c r="VE11" s="2"/>
      <c r="VF11" s="2"/>
      <c r="VG11" s="2"/>
      <c r="VH11" s="2"/>
      <c r="VI11" s="2"/>
      <c r="VJ11" s="2"/>
      <c r="VK11" s="2"/>
      <c r="VL11" s="2"/>
      <c r="VM11" s="2"/>
      <c r="VN11" s="2"/>
      <c r="VO11" s="2"/>
      <c r="VP11" s="2"/>
      <c r="VQ11" s="2"/>
      <c r="VR11" s="2"/>
      <c r="VS11" s="2"/>
      <c r="VT11" s="2"/>
      <c r="VU11" s="2"/>
      <c r="VV11" s="2"/>
      <c r="VW11" s="2"/>
      <c r="VX11" s="2"/>
      <c r="VY11" s="2"/>
      <c r="VZ11" s="2"/>
      <c r="WA11" s="2"/>
      <c r="WB11" s="2"/>
      <c r="WC11" s="2"/>
      <c r="WD11" s="2"/>
      <c r="WE11" s="2"/>
      <c r="WF11" s="2"/>
      <c r="WG11" s="2"/>
      <c r="WH11" s="2"/>
      <c r="WI11" s="2"/>
      <c r="WJ11" s="2"/>
      <c r="WK11" s="2"/>
      <c r="WL11" s="2"/>
      <c r="WM11" s="2"/>
      <c r="WN11" s="2"/>
      <c r="WO11" s="2"/>
      <c r="WP11" s="2"/>
      <c r="WQ11" s="2"/>
      <c r="WR11" s="2"/>
      <c r="WS11" s="2"/>
      <c r="WT11" s="2"/>
      <c r="WU11" s="2"/>
      <c r="WV11" s="2"/>
      <c r="WW11" s="2"/>
      <c r="WX11" s="2"/>
      <c r="WY11" s="2"/>
      <c r="WZ11" s="2"/>
      <c r="XA11" s="2"/>
      <c r="XB11" s="2"/>
      <c r="XC11" s="2"/>
      <c r="XD11" s="2"/>
      <c r="XE11" s="2"/>
      <c r="XF11" s="2"/>
      <c r="XG11" s="2"/>
      <c r="XH11" s="2"/>
      <c r="XI11" s="2"/>
      <c r="XJ11" s="2"/>
      <c r="XK11" s="2"/>
      <c r="XL11" s="2"/>
      <c r="XM11" s="2"/>
      <c r="XN11" s="2"/>
      <c r="XO11" s="2"/>
      <c r="XP11" s="2"/>
      <c r="XQ11" s="2"/>
      <c r="XR11" s="2"/>
      <c r="XS11" s="2"/>
      <c r="XT11" s="2"/>
      <c r="XU11" s="2"/>
      <c r="XV11" s="2"/>
      <c r="XW11" s="2"/>
      <c r="XX11" s="2"/>
      <c r="XY11" s="2"/>
      <c r="XZ11" s="2"/>
      <c r="YA11" s="2"/>
      <c r="YB11" s="2"/>
      <c r="YC11" s="2"/>
      <c r="YD11" s="2"/>
      <c r="YE11" s="2"/>
      <c r="YF11" s="2"/>
      <c r="YG11" s="2"/>
      <c r="YH11" s="2"/>
      <c r="YI11" s="2"/>
      <c r="YJ11" s="2"/>
      <c r="YK11" s="2"/>
      <c r="YL11" s="2"/>
      <c r="YM11" s="2"/>
      <c r="YN11" s="2"/>
      <c r="YO11" s="2"/>
      <c r="YP11" s="2"/>
      <c r="YQ11" s="2"/>
      <c r="YR11" s="2"/>
      <c r="YS11" s="2"/>
      <c r="YT11" s="2"/>
      <c r="YU11" s="2"/>
      <c r="YV11" s="2"/>
      <c r="YW11" s="2"/>
      <c r="YX11" s="2"/>
      <c r="YY11" s="2"/>
      <c r="YZ11" s="2"/>
      <c r="ZA11" s="2"/>
      <c r="ZB11" s="2"/>
      <c r="ZC11" s="2"/>
      <c r="ZD11" s="2"/>
      <c r="ZE11" s="2"/>
      <c r="ZF11" s="2"/>
      <c r="ZG11" s="2"/>
      <c r="ZH11" s="2"/>
      <c r="ZI11" s="2"/>
      <c r="ZJ11" s="2"/>
      <c r="ZK11" s="2"/>
      <c r="ZL11" s="2"/>
      <c r="ZM11" s="2"/>
      <c r="ZN11" s="2"/>
      <c r="ZO11" s="2"/>
      <c r="ZP11" s="2"/>
      <c r="ZQ11" s="2"/>
      <c r="ZR11" s="2"/>
      <c r="ZS11" s="2"/>
      <c r="ZT11" s="2"/>
      <c r="ZU11" s="2"/>
      <c r="ZV11" s="2"/>
      <c r="ZW11" s="2"/>
      <c r="ZX11" s="2"/>
      <c r="ZY11" s="2"/>
      <c r="ZZ11" s="2"/>
      <c r="AAA11" s="2"/>
      <c r="AAB11" s="2"/>
      <c r="AAC11" s="2"/>
      <c r="AAD11" s="2"/>
      <c r="AAE11" s="2"/>
      <c r="AAF11" s="2"/>
      <c r="AAG11" s="2"/>
      <c r="AAH11" s="2"/>
      <c r="AAI11" s="2"/>
      <c r="AAJ11" s="2"/>
      <c r="AAK11" s="2"/>
      <c r="AAL11" s="2"/>
      <c r="AAM11" s="2"/>
      <c r="AAN11" s="2"/>
      <c r="AAO11" s="2"/>
      <c r="AAP11" s="2"/>
      <c r="AAQ11" s="2"/>
      <c r="AAR11" s="2"/>
      <c r="AAS11" s="2"/>
      <c r="AAT11" s="2"/>
      <c r="AAU11" s="2"/>
      <c r="AAV11" s="2"/>
      <c r="AAW11" s="2"/>
      <c r="AAX11" s="2"/>
      <c r="AAY11" s="2"/>
      <c r="AAZ11" s="2"/>
      <c r="ABA11" s="2"/>
      <c r="ABB11" s="2"/>
      <c r="ABC11" s="2"/>
      <c r="ABD11" s="2"/>
      <c r="ABE11" s="2"/>
      <c r="ABF11" s="2"/>
      <c r="ABG11" s="2"/>
      <c r="ABH11" s="2"/>
      <c r="ABI11" s="2"/>
      <c r="ABJ11" s="2"/>
      <c r="ABK11" s="2"/>
      <c r="ABL11" s="2"/>
      <c r="ABM11" s="2"/>
      <c r="ABN11" s="2"/>
      <c r="ABO11" s="2"/>
      <c r="ABP11" s="2"/>
      <c r="ABQ11" s="2"/>
      <c r="ABR11" s="2"/>
      <c r="ABS11" s="2"/>
      <c r="ABT11" s="2"/>
      <c r="ABU11" s="2"/>
      <c r="ABV11" s="2"/>
      <c r="ABW11" s="2"/>
      <c r="ABX11" s="2"/>
      <c r="ABY11" s="2"/>
      <c r="ABZ11" s="2"/>
      <c r="ACA11" s="2"/>
      <c r="ACB11" s="2"/>
      <c r="ACC11" s="2"/>
      <c r="ACD11" s="2"/>
      <c r="ACE11" s="2"/>
      <c r="ACF11" s="2"/>
      <c r="ACG11" s="2"/>
      <c r="ACH11" s="2"/>
      <c r="ACI11" s="2"/>
      <c r="ACJ11" s="2"/>
      <c r="ACK11" s="2"/>
      <c r="ACL11" s="2"/>
      <c r="ACM11" s="2"/>
      <c r="ACN11" s="2"/>
      <c r="ACO11" s="2"/>
      <c r="ACP11" s="2"/>
      <c r="ACQ11" s="2"/>
      <c r="ACR11" s="2"/>
      <c r="ACS11" s="2"/>
      <c r="ACT11" s="2"/>
      <c r="ACU11" s="2"/>
      <c r="ACV11" s="2"/>
      <c r="ACW11" s="2"/>
      <c r="ACX11" s="2"/>
      <c r="ACY11" s="2"/>
      <c r="ACZ11" s="2"/>
      <c r="ADA11" s="2"/>
      <c r="ADB11" s="2"/>
      <c r="ADC11" s="2"/>
      <c r="ADD11" s="2"/>
      <c r="ADE11" s="2"/>
      <c r="ADF11" s="2"/>
      <c r="ADG11" s="2"/>
      <c r="ADH11" s="2"/>
      <c r="ADI11" s="2"/>
      <c r="ADJ11" s="2"/>
      <c r="ADK11" s="2"/>
      <c r="ADL11" s="2"/>
      <c r="ADM11" s="2"/>
      <c r="ADN11" s="2"/>
      <c r="ADO11" s="2"/>
      <c r="ADP11" s="2"/>
      <c r="ADQ11" s="2"/>
      <c r="ADR11" s="2"/>
      <c r="ADS11" s="2"/>
      <c r="ADT11" s="2"/>
      <c r="ADU11" s="2"/>
      <c r="ADV11" s="2"/>
      <c r="ADW11" s="2"/>
      <c r="ADX11" s="2"/>
      <c r="ADY11" s="2"/>
      <c r="ADZ11" s="2"/>
      <c r="AEA11" s="2"/>
      <c r="AEB11" s="2"/>
      <c r="AEC11" s="2"/>
      <c r="AED11" s="2"/>
      <c r="AEE11" s="2"/>
      <c r="AEF11" s="2"/>
      <c r="AEG11" s="2"/>
      <c r="AEH11" s="2"/>
      <c r="AEI11" s="2"/>
      <c r="AEJ11" s="2"/>
      <c r="AEK11" s="2"/>
      <c r="AEL11" s="2"/>
      <c r="AEM11" s="2"/>
      <c r="AEN11" s="2"/>
      <c r="AEO11" s="2"/>
      <c r="AEP11" s="2"/>
      <c r="AEQ11" s="2"/>
      <c r="AER11" s="2"/>
      <c r="AES11" s="2"/>
      <c r="AET11" s="2"/>
      <c r="AEU11" s="2"/>
      <c r="AEV11" s="2"/>
      <c r="AEW11" s="2"/>
      <c r="AEX11" s="2"/>
      <c r="AEY11" s="2"/>
      <c r="AEZ11" s="2"/>
      <c r="AFA11" s="2"/>
      <c r="AFB11" s="2"/>
      <c r="AFC11" s="2"/>
      <c r="AFD11" s="2"/>
      <c r="AFE11" s="2"/>
      <c r="AFF11" s="2"/>
      <c r="AFG11" s="2"/>
      <c r="AFH11" s="2"/>
      <c r="AFI11" s="2"/>
      <c r="AFJ11" s="2"/>
      <c r="AFK11" s="2"/>
      <c r="AFL11" s="2"/>
      <c r="AFM11" s="2"/>
      <c r="AFN11" s="2"/>
      <c r="AFO11" s="2"/>
      <c r="AFP11" s="2"/>
      <c r="AFQ11" s="2"/>
      <c r="AFR11" s="2"/>
      <c r="AFS11" s="2"/>
      <c r="AFT11" s="2"/>
      <c r="AFU11" s="2"/>
      <c r="AFV11" s="2"/>
      <c r="AFW11" s="2"/>
      <c r="AFX11" s="2"/>
      <c r="AFY11" s="2"/>
      <c r="AFZ11" s="2"/>
      <c r="AGA11" s="2"/>
      <c r="AGB11" s="2"/>
      <c r="AGC11" s="2"/>
      <c r="AGD11" s="2"/>
      <c r="AGE11" s="2"/>
      <c r="AGF11" s="2"/>
      <c r="AGG11" s="2"/>
      <c r="AGH11" s="2"/>
      <c r="AGI11" s="2"/>
      <c r="AGJ11" s="2"/>
      <c r="AGK11" s="2"/>
      <c r="AGL11" s="2"/>
      <c r="AGM11" s="2"/>
      <c r="AGN11" s="2"/>
      <c r="AGO11" s="2"/>
      <c r="AGP11" s="2"/>
      <c r="AGQ11" s="2"/>
      <c r="AGR11" s="2"/>
      <c r="AGS11" s="2"/>
      <c r="AGT11" s="2"/>
      <c r="AGU11" s="2"/>
      <c r="AGV11" s="2"/>
      <c r="AGW11" s="2"/>
      <c r="AGX11" s="2"/>
      <c r="AGY11" s="2"/>
      <c r="AGZ11" s="2"/>
      <c r="AHA11" s="2"/>
      <c r="AHB11" s="2"/>
      <c r="AHC11" s="2"/>
      <c r="AHD11" s="2"/>
      <c r="AHE11" s="2"/>
      <c r="AHF11" s="2"/>
      <c r="AHG11" s="2"/>
      <c r="AHH11" s="2"/>
      <c r="AHI11" s="2"/>
      <c r="AHJ11" s="2"/>
      <c r="AHK11" s="2"/>
      <c r="AHL11" s="2"/>
      <c r="AHM11" s="2"/>
      <c r="AHN11" s="2"/>
      <c r="AHO11" s="2"/>
      <c r="AHP11" s="2"/>
      <c r="AHQ11" s="2"/>
      <c r="AHR11" s="2"/>
      <c r="AHS11" s="2"/>
      <c r="AHT11" s="2"/>
      <c r="AHU11" s="2"/>
      <c r="AHV11" s="2"/>
      <c r="AHW11" s="2"/>
      <c r="AHX11" s="2"/>
      <c r="AHY11" s="2"/>
      <c r="AHZ11" s="2"/>
      <c r="AIA11" s="2"/>
      <c r="AIB11" s="2"/>
      <c r="AIC11" s="2"/>
      <c r="AID11" s="2"/>
      <c r="AIE11" s="2"/>
      <c r="AIF11" s="2"/>
      <c r="AIG11" s="2"/>
      <c r="AIH11" s="2"/>
      <c r="AII11" s="2"/>
      <c r="AIJ11" s="2"/>
      <c r="AIK11" s="2"/>
      <c r="AIL11" s="2"/>
      <c r="AIM11" s="2"/>
      <c r="AIN11" s="2"/>
      <c r="AIO11" s="2"/>
      <c r="AIP11" s="2"/>
      <c r="AIQ11" s="2"/>
      <c r="AIR11" s="2"/>
      <c r="AIS11" s="2"/>
      <c r="AIT11" s="2"/>
      <c r="AIU11" s="2"/>
      <c r="AIV11" s="2"/>
      <c r="AIW11" s="2"/>
      <c r="AIX11" s="2"/>
      <c r="AIY11" s="2"/>
      <c r="AIZ11" s="2"/>
      <c r="AJA11" s="2"/>
      <c r="AJB11" s="2"/>
      <c r="AJC11" s="2"/>
      <c r="AJD11" s="2"/>
      <c r="AJE11" s="2"/>
      <c r="AJF11" s="2"/>
      <c r="AJG11" s="2"/>
      <c r="AJH11" s="2"/>
      <c r="AJI11" s="2"/>
      <c r="AJJ11" s="2"/>
      <c r="AJK11" s="2"/>
      <c r="AJL11" s="2"/>
      <c r="AJM11" s="2"/>
      <c r="AJN11" s="2"/>
      <c r="AJO11" s="2"/>
      <c r="AJP11" s="2"/>
      <c r="AJQ11" s="2"/>
      <c r="AJR11" s="2"/>
      <c r="AJS11" s="2"/>
      <c r="AJT11" s="2"/>
      <c r="AJU11" s="2"/>
      <c r="AJV11" s="2"/>
      <c r="AJW11" s="2"/>
      <c r="AJX11" s="2"/>
      <c r="AJY11" s="2"/>
      <c r="AJZ11" s="2"/>
    </row>
    <row r="12" spans="1:962">
      <c r="A12" s="16">
        <v>11</v>
      </c>
      <c r="B12" s="16">
        <v>2</v>
      </c>
      <c r="C12" s="16">
        <v>9.7899999999999991</v>
      </c>
      <c r="D12" s="9">
        <v>7.02</v>
      </c>
      <c r="E12" s="9">
        <v>2.17</v>
      </c>
      <c r="F12" s="9">
        <v>0.25</v>
      </c>
      <c r="G12" s="16">
        <v>398</v>
      </c>
      <c r="H12" s="17">
        <v>2</v>
      </c>
      <c r="I12" s="9">
        <f t="shared" si="0"/>
        <v>3.2350230414746544</v>
      </c>
      <c r="J12" s="9">
        <f t="shared" si="1"/>
        <v>0.1152073732718894</v>
      </c>
      <c r="K12" s="9">
        <f t="shared" si="2"/>
        <v>183.41013824884794</v>
      </c>
      <c r="L12" s="9">
        <f t="shared" si="3"/>
        <v>1287.5391705069126</v>
      </c>
      <c r="M12" s="16">
        <v>15</v>
      </c>
      <c r="N12" s="16" t="s">
        <v>31</v>
      </c>
      <c r="O12" s="9">
        <v>3</v>
      </c>
      <c r="P12" s="16">
        <v>9.7899999999999991</v>
      </c>
      <c r="Q12" s="9">
        <v>7.02</v>
      </c>
      <c r="R12" s="9">
        <v>2.17</v>
      </c>
      <c r="S12" s="9">
        <v>0.25</v>
      </c>
      <c r="T12" s="9"/>
      <c r="U12" s="9"/>
      <c r="V12" s="9"/>
      <c r="W12" s="9">
        <v>9.09</v>
      </c>
      <c r="X12" s="20">
        <v>127</v>
      </c>
      <c r="Y12" s="9">
        <v>0.4</v>
      </c>
      <c r="Z12" s="16"/>
      <c r="AA12" s="16">
        <v>0.5</v>
      </c>
      <c r="AB12" s="16">
        <v>3.5000000000000003E-2</v>
      </c>
      <c r="AC12" s="9">
        <v>156.69999999999999</v>
      </c>
      <c r="AD12" s="9">
        <v>4.72</v>
      </c>
      <c r="AE12" s="9">
        <v>127.7</v>
      </c>
      <c r="AF12" s="9">
        <v>2.5099999999999998</v>
      </c>
      <c r="AG12" s="9">
        <v>1.83</v>
      </c>
      <c r="AH12" s="9">
        <v>14.26</v>
      </c>
      <c r="AI12" s="9">
        <v>160.28</v>
      </c>
      <c r="AJ12" s="9">
        <v>41.7</v>
      </c>
      <c r="AK12" s="9">
        <v>64.900000000000006</v>
      </c>
      <c r="AL12" s="9">
        <v>68.16</v>
      </c>
      <c r="AM12" s="9">
        <v>30.81</v>
      </c>
      <c r="AN12" s="16">
        <v>1.02</v>
      </c>
      <c r="AO12" s="16">
        <v>9.4E-2</v>
      </c>
      <c r="AP12" s="16">
        <v>17</v>
      </c>
    </row>
    <row r="13" spans="1:962">
      <c r="A13" s="16">
        <v>12</v>
      </c>
      <c r="B13" s="7">
        <v>2</v>
      </c>
      <c r="C13" s="7">
        <v>9.06</v>
      </c>
      <c r="D13" s="7">
        <v>5.75</v>
      </c>
      <c r="E13" s="7">
        <v>2.12</v>
      </c>
      <c r="F13" s="7">
        <v>0.12</v>
      </c>
      <c r="G13" s="7">
        <v>295</v>
      </c>
      <c r="H13" s="17">
        <v>2</v>
      </c>
      <c r="I13" s="9">
        <f t="shared" si="0"/>
        <v>2.7122641509433962</v>
      </c>
      <c r="J13" s="9">
        <f t="shared" si="1"/>
        <v>5.6603773584905655E-2</v>
      </c>
      <c r="K13" s="9">
        <f t="shared" si="2"/>
        <v>139.15094339622641</v>
      </c>
      <c r="L13" s="9">
        <f t="shared" si="3"/>
        <v>800.11792452830184</v>
      </c>
      <c r="M13" s="7">
        <v>14</v>
      </c>
      <c r="N13" s="7" t="s">
        <v>31</v>
      </c>
      <c r="O13" s="7">
        <v>4.68</v>
      </c>
      <c r="P13" s="7">
        <v>9.06</v>
      </c>
      <c r="Q13" s="7">
        <v>5.75</v>
      </c>
      <c r="R13" s="7">
        <v>2.12</v>
      </c>
      <c r="S13" s="7">
        <v>0.12</v>
      </c>
      <c r="T13" s="7">
        <v>1.06</v>
      </c>
      <c r="U13" s="7">
        <v>0</v>
      </c>
      <c r="V13" s="7">
        <v>0</v>
      </c>
      <c r="W13" s="9">
        <v>8.4700000000000006</v>
      </c>
      <c r="X13" s="20">
        <v>129</v>
      </c>
      <c r="Y13" s="7">
        <v>0.39</v>
      </c>
      <c r="Z13" s="7">
        <v>295</v>
      </c>
      <c r="AA13" s="7">
        <v>0.2</v>
      </c>
      <c r="AB13" s="7">
        <v>0.02</v>
      </c>
      <c r="AC13" s="7">
        <v>151.5</v>
      </c>
      <c r="AD13" s="7">
        <v>4.4000000000000004</v>
      </c>
      <c r="AE13" s="7">
        <v>119.5</v>
      </c>
      <c r="AF13" s="7">
        <v>2.39</v>
      </c>
      <c r="AG13" s="7">
        <v>1.44</v>
      </c>
      <c r="AH13" s="7">
        <v>8.5299999999999994</v>
      </c>
      <c r="AI13" s="7">
        <v>160.22999999999999</v>
      </c>
      <c r="AJ13" s="7">
        <v>31.5</v>
      </c>
      <c r="AK13" s="7">
        <v>110.7</v>
      </c>
      <c r="AL13" s="7">
        <v>75.56</v>
      </c>
      <c r="AM13" s="7">
        <v>31.93</v>
      </c>
      <c r="AP13" s="16">
        <v>13</v>
      </c>
    </row>
    <row r="14" spans="1:962">
      <c r="A14" s="16">
        <v>13</v>
      </c>
      <c r="B14" s="16">
        <v>2</v>
      </c>
      <c r="C14" s="16">
        <v>9.2899999999999991</v>
      </c>
      <c r="D14" s="9">
        <v>4.72</v>
      </c>
      <c r="E14" s="9">
        <v>3.18</v>
      </c>
      <c r="F14" s="9">
        <v>0.39</v>
      </c>
      <c r="G14" s="16">
        <v>292</v>
      </c>
      <c r="H14" s="17">
        <v>2</v>
      </c>
      <c r="I14" s="9">
        <f t="shared" si="0"/>
        <v>1.4842767295597483</v>
      </c>
      <c r="J14" s="9">
        <f t="shared" si="1"/>
        <v>0.12264150943396226</v>
      </c>
      <c r="K14" s="9">
        <f t="shared" si="2"/>
        <v>91.823899371069174</v>
      </c>
      <c r="L14" s="9">
        <f t="shared" si="3"/>
        <v>433.40880503144655</v>
      </c>
      <c r="M14" s="16">
        <v>10</v>
      </c>
      <c r="N14" s="16" t="s">
        <v>31</v>
      </c>
      <c r="O14" s="9">
        <v>4.7</v>
      </c>
      <c r="P14" s="16">
        <v>9.2899999999999991</v>
      </c>
      <c r="Q14" s="9">
        <v>4.72</v>
      </c>
      <c r="R14" s="9">
        <v>3.18</v>
      </c>
      <c r="S14" s="9">
        <v>0.39</v>
      </c>
      <c r="T14" s="9"/>
      <c r="U14" s="9"/>
      <c r="V14" s="9"/>
      <c r="W14" s="9">
        <v>8.0500000000000007</v>
      </c>
      <c r="X14" s="20">
        <v>108</v>
      </c>
      <c r="Y14" s="9">
        <v>0.36</v>
      </c>
      <c r="Z14" s="16"/>
      <c r="AA14" s="16">
        <v>0.4</v>
      </c>
      <c r="AB14" s="16">
        <v>2.9000000000000001E-2</v>
      </c>
      <c r="AC14" s="9">
        <v>152</v>
      </c>
      <c r="AD14" s="9">
        <v>4.03</v>
      </c>
      <c r="AE14" s="9">
        <v>119.4</v>
      </c>
      <c r="AF14" s="9">
        <v>2.39</v>
      </c>
      <c r="AG14" s="9">
        <v>1.25</v>
      </c>
      <c r="AH14" s="9">
        <v>12.83</v>
      </c>
      <c r="AI14" s="9">
        <v>159.36000000000001</v>
      </c>
      <c r="AJ14" s="9">
        <v>26.9</v>
      </c>
      <c r="AK14" s="9">
        <v>43.5</v>
      </c>
      <c r="AL14" s="9">
        <v>64.099999999999994</v>
      </c>
      <c r="AM14" s="9">
        <v>31.1</v>
      </c>
      <c r="AN14" s="16"/>
      <c r="AO14" s="16"/>
      <c r="AP14" s="16">
        <v>21</v>
      </c>
    </row>
    <row r="15" spans="1:962">
      <c r="A15" s="16">
        <v>14</v>
      </c>
      <c r="B15" s="16">
        <v>2</v>
      </c>
      <c r="C15" s="16">
        <v>21.91</v>
      </c>
      <c r="D15" s="9">
        <v>18.940000000000001</v>
      </c>
      <c r="E15" s="9">
        <v>2.13</v>
      </c>
      <c r="F15" s="9">
        <v>0.53</v>
      </c>
      <c r="G15" s="16">
        <v>482</v>
      </c>
      <c r="H15" s="17">
        <v>2</v>
      </c>
      <c r="I15" s="9">
        <f t="shared" si="0"/>
        <v>8.8920187793427239</v>
      </c>
      <c r="J15" s="9">
        <f t="shared" si="1"/>
        <v>0.24882629107981225</v>
      </c>
      <c r="K15" s="9">
        <f t="shared" si="2"/>
        <v>226.29107981220659</v>
      </c>
      <c r="L15" s="9">
        <f t="shared" si="3"/>
        <v>4285.9530516431923</v>
      </c>
      <c r="M15" s="16">
        <v>6</v>
      </c>
      <c r="N15" s="16" t="s">
        <v>31</v>
      </c>
      <c r="O15" s="7">
        <v>2.72</v>
      </c>
      <c r="P15" s="16">
        <v>21.91</v>
      </c>
      <c r="Q15" s="9">
        <v>18.940000000000001</v>
      </c>
      <c r="R15" s="9">
        <v>2.13</v>
      </c>
      <c r="S15" s="9">
        <v>0.53</v>
      </c>
      <c r="T15" s="9"/>
      <c r="U15" s="9"/>
      <c r="V15" s="9"/>
      <c r="W15" s="9">
        <v>6.6</v>
      </c>
      <c r="X15" s="20">
        <v>91</v>
      </c>
      <c r="Y15" s="9">
        <v>0.28000000000000003</v>
      </c>
      <c r="Z15" s="16"/>
      <c r="AA15" s="16">
        <v>0.5</v>
      </c>
      <c r="AB15" s="16">
        <v>3.4000000000000002E-2</v>
      </c>
      <c r="AC15" s="9">
        <v>153.5</v>
      </c>
      <c r="AD15" s="9">
        <v>4.2699999999999996</v>
      </c>
      <c r="AE15" s="9">
        <v>122.8</v>
      </c>
      <c r="AF15" s="9">
        <v>2.4300000000000002</v>
      </c>
      <c r="AG15" s="9">
        <v>2.86</v>
      </c>
      <c r="AH15" s="9">
        <v>23.75</v>
      </c>
      <c r="AI15" s="9">
        <v>218.54</v>
      </c>
      <c r="AJ15" s="9">
        <v>22.5</v>
      </c>
      <c r="AK15" s="9">
        <v>43.1</v>
      </c>
      <c r="AL15" s="9">
        <v>77.66</v>
      </c>
      <c r="AM15" s="9">
        <v>27.17</v>
      </c>
      <c r="AN15" s="16"/>
      <c r="AO15" s="16"/>
      <c r="AP15" s="16">
        <v>21</v>
      </c>
    </row>
    <row r="16" spans="1:962">
      <c r="A16" s="16">
        <v>15</v>
      </c>
      <c r="B16" s="16">
        <v>2</v>
      </c>
      <c r="C16" s="16">
        <v>5.14</v>
      </c>
      <c r="D16" s="9">
        <v>3</v>
      </c>
      <c r="E16" s="9">
        <v>1.77</v>
      </c>
      <c r="F16" s="9">
        <v>0.09</v>
      </c>
      <c r="G16" s="16">
        <v>322</v>
      </c>
      <c r="H16" s="17">
        <v>2</v>
      </c>
      <c r="I16" s="9">
        <f t="shared" si="0"/>
        <v>1.6949152542372881</v>
      </c>
      <c r="J16" s="9">
        <f t="shared" si="1"/>
        <v>5.084745762711864E-2</v>
      </c>
      <c r="K16" s="9">
        <f t="shared" si="2"/>
        <v>181.92090395480227</v>
      </c>
      <c r="L16" s="9">
        <f t="shared" si="3"/>
        <v>545.76271186440681</v>
      </c>
      <c r="M16" s="16">
        <v>14</v>
      </c>
      <c r="N16" s="16" t="s">
        <v>31</v>
      </c>
      <c r="O16" s="16">
        <v>3.2</v>
      </c>
      <c r="P16" s="16">
        <v>5.14</v>
      </c>
      <c r="Q16" s="9">
        <v>3</v>
      </c>
      <c r="R16" s="9">
        <v>1.77</v>
      </c>
      <c r="S16" s="9">
        <v>0.09</v>
      </c>
      <c r="T16" s="9">
        <v>0.27</v>
      </c>
      <c r="U16" s="9">
        <v>0</v>
      </c>
      <c r="V16" s="9">
        <v>0.02</v>
      </c>
      <c r="W16" s="18">
        <v>8.7899999999999991</v>
      </c>
      <c r="X16" s="19">
        <v>126</v>
      </c>
      <c r="Y16" s="16">
        <v>0.43</v>
      </c>
      <c r="Z16" s="16">
        <v>322</v>
      </c>
      <c r="AA16" s="16">
        <v>0.2</v>
      </c>
      <c r="AB16" s="16"/>
      <c r="AC16" s="16">
        <v>154.19999999999999</v>
      </c>
      <c r="AD16" s="16">
        <v>4.3</v>
      </c>
      <c r="AE16" s="16">
        <v>121.8</v>
      </c>
      <c r="AF16" s="16">
        <v>2.44</v>
      </c>
      <c r="AG16" s="16">
        <v>1.52</v>
      </c>
      <c r="AH16" s="16">
        <v>7.46</v>
      </c>
      <c r="AI16" s="16">
        <v>164.1</v>
      </c>
      <c r="AJ16" s="16">
        <v>27.4</v>
      </c>
      <c r="AK16" s="16">
        <v>64.400000000000006</v>
      </c>
      <c r="AL16" s="16">
        <v>65.06</v>
      </c>
      <c r="AM16" s="16">
        <v>27.51</v>
      </c>
      <c r="AN16" s="16">
        <v>1.044</v>
      </c>
      <c r="AO16" s="16">
        <v>0.106</v>
      </c>
    </row>
    <row r="17" spans="1:962">
      <c r="A17" s="16">
        <v>16</v>
      </c>
      <c r="B17" s="16">
        <v>2</v>
      </c>
      <c r="C17" s="16">
        <v>8.43</v>
      </c>
      <c r="D17" s="9">
        <v>4.0199999999999996</v>
      </c>
      <c r="E17" s="9">
        <v>3.66</v>
      </c>
      <c r="F17" s="9">
        <v>0.14000000000000001</v>
      </c>
      <c r="G17" s="16">
        <v>369</v>
      </c>
      <c r="H17" s="17">
        <v>2</v>
      </c>
      <c r="I17" s="9">
        <f t="shared" si="0"/>
        <v>1.0983606557377048</v>
      </c>
      <c r="J17" s="9">
        <f t="shared" si="1"/>
        <v>3.825136612021858E-2</v>
      </c>
      <c r="K17" s="9">
        <f t="shared" si="2"/>
        <v>100.81967213114754</v>
      </c>
      <c r="L17" s="9">
        <f t="shared" si="3"/>
        <v>405.29508196721309</v>
      </c>
      <c r="M17" s="16">
        <v>2</v>
      </c>
      <c r="N17" s="16" t="s">
        <v>30</v>
      </c>
      <c r="O17" s="16">
        <v>4.5599999999999996</v>
      </c>
      <c r="P17" s="16">
        <v>8.43</v>
      </c>
      <c r="Q17" s="9">
        <v>4.0199999999999996</v>
      </c>
      <c r="R17" s="9">
        <v>3.66</v>
      </c>
      <c r="S17" s="9">
        <v>0.14000000000000001</v>
      </c>
      <c r="T17" s="9">
        <v>0.6</v>
      </c>
      <c r="U17" s="9">
        <v>0</v>
      </c>
      <c r="V17" s="9">
        <v>0.01</v>
      </c>
      <c r="W17" s="18">
        <v>7.36</v>
      </c>
      <c r="X17" s="19">
        <v>110</v>
      </c>
      <c r="Y17" s="16">
        <v>0.32</v>
      </c>
      <c r="Z17" s="16">
        <v>369</v>
      </c>
      <c r="AA17" s="16">
        <v>0.5</v>
      </c>
      <c r="AB17" s="16"/>
      <c r="AC17" s="16">
        <v>155.4</v>
      </c>
      <c r="AD17" s="16">
        <v>4.8499999999999996</v>
      </c>
      <c r="AE17" s="16">
        <v>122.3</v>
      </c>
      <c r="AF17" s="16">
        <v>2.75</v>
      </c>
      <c r="AG17" s="16">
        <v>1.9</v>
      </c>
      <c r="AH17" s="16">
        <v>12.44</v>
      </c>
      <c r="AI17" s="16">
        <v>181.72</v>
      </c>
      <c r="AJ17" s="16">
        <v>24.7</v>
      </c>
      <c r="AK17" s="16">
        <v>43.8</v>
      </c>
      <c r="AL17" s="16">
        <v>72.86</v>
      </c>
      <c r="AM17" s="16">
        <v>34.67</v>
      </c>
      <c r="AN17" s="16">
        <v>1.0549999999999999</v>
      </c>
      <c r="AO17" s="16">
        <v>0.09</v>
      </c>
    </row>
    <row r="18" spans="1:962">
      <c r="A18" s="16">
        <v>17</v>
      </c>
      <c r="B18" s="21">
        <v>2</v>
      </c>
      <c r="C18" s="21">
        <v>4.91</v>
      </c>
      <c r="D18" s="9">
        <v>2.9</v>
      </c>
      <c r="E18" s="9">
        <v>1.27</v>
      </c>
      <c r="F18" s="9">
        <v>0.4</v>
      </c>
      <c r="G18" s="21">
        <v>243</v>
      </c>
      <c r="H18" s="17">
        <v>2</v>
      </c>
      <c r="I18" s="9">
        <f t="shared" si="0"/>
        <v>2.2834645669291338</v>
      </c>
      <c r="J18" s="9">
        <f t="shared" si="1"/>
        <v>0.31496062992125984</v>
      </c>
      <c r="K18" s="9">
        <f t="shared" si="2"/>
        <v>191.33858267716536</v>
      </c>
      <c r="L18" s="9">
        <f t="shared" si="3"/>
        <v>554.88188976377944</v>
      </c>
      <c r="M18" s="21">
        <v>17</v>
      </c>
      <c r="N18" s="21" t="s">
        <v>27</v>
      </c>
      <c r="O18" s="21">
        <v>3.7</v>
      </c>
      <c r="P18" s="21">
        <v>4.91</v>
      </c>
      <c r="Q18" s="9">
        <v>2.9</v>
      </c>
      <c r="R18" s="9">
        <v>1.27</v>
      </c>
      <c r="S18" s="9">
        <v>0.4</v>
      </c>
      <c r="T18" s="9">
        <v>0.28000000000000003</v>
      </c>
      <c r="U18" s="9">
        <v>0.06</v>
      </c>
      <c r="V18" s="9">
        <v>0</v>
      </c>
      <c r="W18" s="22">
        <v>8.41</v>
      </c>
      <c r="X18" s="23">
        <v>132</v>
      </c>
      <c r="Y18" s="21">
        <v>0.42</v>
      </c>
      <c r="Z18" s="21">
        <v>243</v>
      </c>
      <c r="AA18" s="21"/>
      <c r="AB18" s="21"/>
      <c r="AC18" s="21"/>
      <c r="AD18" s="21"/>
      <c r="AE18" s="21"/>
      <c r="AF18" s="21">
        <v>2.57</v>
      </c>
      <c r="AG18" s="21">
        <v>1.53</v>
      </c>
      <c r="AH18" s="21">
        <v>14.41</v>
      </c>
      <c r="AI18" s="21">
        <v>233.69</v>
      </c>
      <c r="AJ18" s="21">
        <v>34.1</v>
      </c>
      <c r="AK18" s="21">
        <v>65.2</v>
      </c>
      <c r="AL18" s="21">
        <v>82.19</v>
      </c>
      <c r="AM18" s="21">
        <v>33.46</v>
      </c>
      <c r="AN18" s="21"/>
      <c r="AO18" s="21"/>
      <c r="AP18" s="16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  <c r="JC18" s="2"/>
      <c r="JD18" s="2"/>
      <c r="JE18" s="2"/>
      <c r="JF18" s="2"/>
      <c r="JG18" s="2"/>
      <c r="JH18" s="2"/>
      <c r="JI18" s="2"/>
      <c r="JJ18" s="2"/>
      <c r="JK18" s="2"/>
      <c r="JL18" s="2"/>
      <c r="JM18" s="2"/>
      <c r="JN18" s="2"/>
      <c r="JO18" s="2"/>
      <c r="JP18" s="2"/>
      <c r="JQ18" s="2"/>
      <c r="JR18" s="2"/>
      <c r="JS18" s="2"/>
      <c r="JT18" s="2"/>
      <c r="JU18" s="2"/>
      <c r="JV18" s="2"/>
      <c r="JW18" s="2"/>
      <c r="JX18" s="2"/>
      <c r="JY18" s="2"/>
      <c r="JZ18" s="2"/>
      <c r="KA18" s="2"/>
      <c r="KB18" s="2"/>
      <c r="KC18" s="2"/>
      <c r="KD18" s="2"/>
      <c r="KE18" s="2"/>
      <c r="KF18" s="2"/>
      <c r="KG18" s="2"/>
      <c r="KH18" s="2"/>
      <c r="KI18" s="2"/>
      <c r="KJ18" s="2"/>
      <c r="KK18" s="2"/>
      <c r="KL18" s="2"/>
      <c r="KM18" s="2"/>
      <c r="KN18" s="2"/>
      <c r="KO18" s="2"/>
      <c r="KP18" s="2"/>
      <c r="KQ18" s="2"/>
      <c r="KR18" s="2"/>
      <c r="KS18" s="2"/>
      <c r="KT18" s="2"/>
      <c r="KU18" s="2"/>
      <c r="KV18" s="2"/>
      <c r="KW18" s="2"/>
      <c r="KX18" s="2"/>
      <c r="KY18" s="2"/>
      <c r="KZ18" s="2"/>
      <c r="LA18" s="2"/>
      <c r="LB18" s="2"/>
      <c r="LC18" s="2"/>
      <c r="LD18" s="2"/>
      <c r="LE18" s="2"/>
      <c r="LF18" s="2"/>
      <c r="LG18" s="2"/>
      <c r="LH18" s="2"/>
      <c r="LI18" s="2"/>
      <c r="LJ18" s="2"/>
      <c r="LK18" s="2"/>
      <c r="LL18" s="2"/>
      <c r="LM18" s="2"/>
      <c r="LN18" s="2"/>
      <c r="LO18" s="2"/>
      <c r="LP18" s="2"/>
      <c r="LQ18" s="2"/>
      <c r="LR18" s="2"/>
      <c r="LS18" s="2"/>
      <c r="LT18" s="2"/>
      <c r="LU18" s="2"/>
      <c r="LV18" s="2"/>
      <c r="LW18" s="2"/>
      <c r="LX18" s="2"/>
      <c r="LY18" s="2"/>
      <c r="LZ18" s="2"/>
      <c r="MA18" s="2"/>
      <c r="MB18" s="2"/>
      <c r="MC18" s="2"/>
      <c r="MD18" s="2"/>
      <c r="ME18" s="2"/>
      <c r="MF18" s="2"/>
      <c r="MG18" s="2"/>
      <c r="MH18" s="2"/>
      <c r="MI18" s="2"/>
      <c r="MJ18" s="2"/>
      <c r="MK18" s="2"/>
      <c r="ML18" s="2"/>
      <c r="MM18" s="2"/>
      <c r="MN18" s="2"/>
      <c r="MO18" s="2"/>
      <c r="MP18" s="2"/>
      <c r="MQ18" s="2"/>
      <c r="MR18" s="2"/>
      <c r="MS18" s="2"/>
      <c r="MT18" s="2"/>
      <c r="MU18" s="2"/>
      <c r="MV18" s="2"/>
      <c r="MW18" s="2"/>
      <c r="MX18" s="2"/>
      <c r="MY18" s="2"/>
      <c r="MZ18" s="2"/>
      <c r="NA18" s="2"/>
      <c r="NB18" s="2"/>
      <c r="NC18" s="2"/>
      <c r="ND18" s="2"/>
      <c r="NE18" s="2"/>
      <c r="NF18" s="2"/>
      <c r="NG18" s="2"/>
      <c r="NH18" s="2"/>
      <c r="NI18" s="2"/>
      <c r="NJ18" s="2"/>
      <c r="NK18" s="2"/>
      <c r="NL18" s="2"/>
      <c r="NM18" s="2"/>
      <c r="NN18" s="2"/>
      <c r="NO18" s="2"/>
      <c r="NP18" s="2"/>
      <c r="NQ18" s="2"/>
      <c r="NR18" s="2"/>
      <c r="NS18" s="2"/>
      <c r="NT18" s="2"/>
      <c r="NU18" s="2"/>
      <c r="NV18" s="2"/>
      <c r="NW18" s="2"/>
      <c r="NX18" s="2"/>
      <c r="NY18" s="2"/>
      <c r="NZ18" s="2"/>
      <c r="OA18" s="2"/>
      <c r="OB18" s="2"/>
      <c r="OC18" s="2"/>
      <c r="OD18" s="2"/>
      <c r="OE18" s="2"/>
      <c r="OF18" s="2"/>
      <c r="OG18" s="2"/>
      <c r="OH18" s="2"/>
      <c r="OI18" s="2"/>
      <c r="OJ18" s="2"/>
      <c r="OK18" s="2"/>
      <c r="OL18" s="2"/>
      <c r="OM18" s="2"/>
      <c r="ON18" s="2"/>
      <c r="OO18" s="2"/>
      <c r="OP18" s="2"/>
      <c r="OQ18" s="2"/>
      <c r="OR18" s="2"/>
      <c r="OS18" s="2"/>
      <c r="OT18" s="2"/>
      <c r="OU18" s="2"/>
      <c r="OV18" s="2"/>
      <c r="OW18" s="2"/>
      <c r="OX18" s="2"/>
      <c r="OY18" s="2"/>
      <c r="OZ18" s="2"/>
      <c r="PA18" s="2"/>
      <c r="PB18" s="2"/>
      <c r="PC18" s="2"/>
      <c r="PD18" s="2"/>
      <c r="PE18" s="2"/>
      <c r="PF18" s="2"/>
      <c r="PG18" s="2"/>
      <c r="PH18" s="2"/>
      <c r="PI18" s="2"/>
      <c r="PJ18" s="2"/>
      <c r="PK18" s="2"/>
      <c r="PL18" s="2"/>
      <c r="PM18" s="2"/>
      <c r="PN18" s="2"/>
      <c r="PO18" s="2"/>
      <c r="PP18" s="2"/>
      <c r="PQ18" s="2"/>
      <c r="PR18" s="2"/>
      <c r="PS18" s="2"/>
      <c r="PT18" s="2"/>
      <c r="PU18" s="2"/>
      <c r="PV18" s="2"/>
      <c r="PW18" s="2"/>
      <c r="PX18" s="2"/>
      <c r="PY18" s="2"/>
      <c r="PZ18" s="2"/>
      <c r="QA18" s="2"/>
      <c r="QB18" s="2"/>
      <c r="QC18" s="2"/>
      <c r="QD18" s="2"/>
      <c r="QE18" s="2"/>
      <c r="QF18" s="2"/>
      <c r="QG18" s="2"/>
      <c r="QH18" s="2"/>
      <c r="QI18" s="2"/>
      <c r="QJ18" s="2"/>
      <c r="QK18" s="2"/>
      <c r="QL18" s="2"/>
      <c r="QM18" s="2"/>
      <c r="QN18" s="2"/>
      <c r="QO18" s="2"/>
      <c r="QP18" s="2"/>
      <c r="QQ18" s="2"/>
      <c r="QR18" s="2"/>
      <c r="QS18" s="2"/>
      <c r="QT18" s="2"/>
      <c r="QU18" s="2"/>
      <c r="QV18" s="2"/>
      <c r="QW18" s="2"/>
      <c r="QX18" s="2"/>
      <c r="QY18" s="2"/>
      <c r="QZ18" s="2"/>
      <c r="RA18" s="2"/>
      <c r="RB18" s="2"/>
      <c r="RC18" s="2"/>
      <c r="RD18" s="2"/>
      <c r="RE18" s="2"/>
      <c r="RF18" s="2"/>
      <c r="RG18" s="2"/>
      <c r="RH18" s="2"/>
      <c r="RI18" s="2"/>
      <c r="RJ18" s="2"/>
      <c r="RK18" s="2"/>
      <c r="RL18" s="2"/>
      <c r="RM18" s="2"/>
      <c r="RN18" s="2"/>
      <c r="RO18" s="2"/>
      <c r="RP18" s="2"/>
      <c r="RQ18" s="2"/>
      <c r="RR18" s="2"/>
      <c r="RS18" s="2"/>
      <c r="RT18" s="2"/>
      <c r="RU18" s="2"/>
      <c r="RV18" s="2"/>
      <c r="RW18" s="2"/>
      <c r="RX18" s="2"/>
      <c r="RY18" s="2"/>
      <c r="RZ18" s="2"/>
      <c r="SA18" s="2"/>
      <c r="SB18" s="2"/>
      <c r="SC18" s="2"/>
      <c r="SD18" s="2"/>
      <c r="SE18" s="2"/>
      <c r="SF18" s="2"/>
      <c r="SG18" s="2"/>
      <c r="SH18" s="2"/>
      <c r="SI18" s="2"/>
      <c r="SJ18" s="2"/>
      <c r="SK18" s="2"/>
      <c r="SL18" s="2"/>
      <c r="SM18" s="2"/>
      <c r="SN18" s="2"/>
      <c r="SO18" s="2"/>
      <c r="SP18" s="2"/>
      <c r="SQ18" s="2"/>
      <c r="SR18" s="2"/>
      <c r="SS18" s="2"/>
      <c r="ST18" s="2"/>
      <c r="SU18" s="2"/>
      <c r="SV18" s="2"/>
      <c r="SW18" s="2"/>
      <c r="SX18" s="2"/>
      <c r="SY18" s="2"/>
      <c r="SZ18" s="2"/>
      <c r="TA18" s="2"/>
      <c r="TB18" s="2"/>
      <c r="TC18" s="2"/>
      <c r="TD18" s="2"/>
      <c r="TE18" s="2"/>
      <c r="TF18" s="2"/>
      <c r="TG18" s="2"/>
      <c r="TH18" s="2"/>
      <c r="TI18" s="2"/>
      <c r="TJ18" s="2"/>
      <c r="TK18" s="2"/>
      <c r="TL18" s="2"/>
      <c r="TM18" s="2"/>
      <c r="TN18" s="2"/>
      <c r="TO18" s="2"/>
      <c r="TP18" s="2"/>
      <c r="TQ18" s="2"/>
      <c r="TR18" s="2"/>
      <c r="TS18" s="2"/>
      <c r="TT18" s="2"/>
      <c r="TU18" s="2"/>
      <c r="TV18" s="2"/>
      <c r="TW18" s="2"/>
      <c r="TX18" s="2"/>
      <c r="TY18" s="2"/>
      <c r="TZ18" s="2"/>
      <c r="UA18" s="2"/>
      <c r="UB18" s="2"/>
      <c r="UC18" s="2"/>
      <c r="UD18" s="2"/>
      <c r="UE18" s="2"/>
      <c r="UF18" s="2"/>
      <c r="UG18" s="2"/>
      <c r="UH18" s="2"/>
      <c r="UI18" s="2"/>
      <c r="UJ18" s="2"/>
      <c r="UK18" s="2"/>
      <c r="UL18" s="2"/>
      <c r="UM18" s="2"/>
      <c r="UN18" s="2"/>
      <c r="UO18" s="2"/>
      <c r="UP18" s="2"/>
      <c r="UQ18" s="2"/>
      <c r="UR18" s="2"/>
      <c r="US18" s="2"/>
      <c r="UT18" s="2"/>
      <c r="UU18" s="2"/>
      <c r="UV18" s="2"/>
      <c r="UW18" s="2"/>
      <c r="UX18" s="2"/>
      <c r="UY18" s="2"/>
      <c r="UZ18" s="2"/>
      <c r="VA18" s="2"/>
      <c r="VB18" s="2"/>
      <c r="VC18" s="2"/>
      <c r="VD18" s="2"/>
      <c r="VE18" s="2"/>
      <c r="VF18" s="2"/>
      <c r="VG18" s="2"/>
      <c r="VH18" s="2"/>
      <c r="VI18" s="2"/>
      <c r="VJ18" s="2"/>
      <c r="VK18" s="2"/>
      <c r="VL18" s="2"/>
      <c r="VM18" s="2"/>
      <c r="VN18" s="2"/>
      <c r="VO18" s="2"/>
      <c r="VP18" s="2"/>
      <c r="VQ18" s="2"/>
      <c r="VR18" s="2"/>
      <c r="VS18" s="2"/>
      <c r="VT18" s="2"/>
      <c r="VU18" s="2"/>
      <c r="VV18" s="2"/>
      <c r="VW18" s="2"/>
      <c r="VX18" s="2"/>
      <c r="VY18" s="2"/>
      <c r="VZ18" s="2"/>
      <c r="WA18" s="2"/>
      <c r="WB18" s="2"/>
      <c r="WC18" s="2"/>
      <c r="WD18" s="2"/>
      <c r="WE18" s="2"/>
      <c r="WF18" s="2"/>
      <c r="WG18" s="2"/>
      <c r="WH18" s="2"/>
      <c r="WI18" s="2"/>
      <c r="WJ18" s="2"/>
      <c r="WK18" s="2"/>
      <c r="WL18" s="2"/>
      <c r="WM18" s="2"/>
      <c r="WN18" s="2"/>
      <c r="WO18" s="2"/>
      <c r="WP18" s="2"/>
      <c r="WQ18" s="2"/>
      <c r="WR18" s="2"/>
      <c r="WS18" s="2"/>
      <c r="WT18" s="2"/>
      <c r="WU18" s="2"/>
      <c r="WV18" s="2"/>
      <c r="WW18" s="2"/>
      <c r="WX18" s="2"/>
      <c r="WY18" s="2"/>
      <c r="WZ18" s="2"/>
      <c r="XA18" s="2"/>
      <c r="XB18" s="2"/>
      <c r="XC18" s="2"/>
      <c r="XD18" s="2"/>
      <c r="XE18" s="2"/>
      <c r="XF18" s="2"/>
      <c r="XG18" s="2"/>
      <c r="XH18" s="2"/>
      <c r="XI18" s="2"/>
      <c r="XJ18" s="2"/>
      <c r="XK18" s="2"/>
      <c r="XL18" s="2"/>
      <c r="XM18" s="2"/>
      <c r="XN18" s="2"/>
      <c r="XO18" s="2"/>
      <c r="XP18" s="2"/>
      <c r="XQ18" s="2"/>
      <c r="XR18" s="2"/>
      <c r="XS18" s="2"/>
      <c r="XT18" s="2"/>
      <c r="XU18" s="2"/>
      <c r="XV18" s="2"/>
      <c r="XW18" s="2"/>
      <c r="XX18" s="2"/>
      <c r="XY18" s="2"/>
      <c r="XZ18" s="2"/>
      <c r="YA18" s="2"/>
      <c r="YB18" s="2"/>
      <c r="YC18" s="2"/>
      <c r="YD18" s="2"/>
      <c r="YE18" s="2"/>
      <c r="YF18" s="2"/>
      <c r="YG18" s="2"/>
      <c r="YH18" s="2"/>
      <c r="YI18" s="2"/>
      <c r="YJ18" s="2"/>
      <c r="YK18" s="2"/>
      <c r="YL18" s="2"/>
      <c r="YM18" s="2"/>
      <c r="YN18" s="2"/>
      <c r="YO18" s="2"/>
      <c r="YP18" s="2"/>
      <c r="YQ18" s="2"/>
      <c r="YR18" s="2"/>
      <c r="YS18" s="2"/>
      <c r="YT18" s="2"/>
      <c r="YU18" s="2"/>
      <c r="YV18" s="2"/>
      <c r="YW18" s="2"/>
      <c r="YX18" s="2"/>
      <c r="YY18" s="2"/>
      <c r="YZ18" s="2"/>
      <c r="ZA18" s="2"/>
      <c r="ZB18" s="2"/>
      <c r="ZC18" s="2"/>
      <c r="ZD18" s="2"/>
      <c r="ZE18" s="2"/>
      <c r="ZF18" s="2"/>
      <c r="ZG18" s="2"/>
      <c r="ZH18" s="2"/>
      <c r="ZI18" s="2"/>
      <c r="ZJ18" s="2"/>
      <c r="ZK18" s="2"/>
      <c r="ZL18" s="2"/>
      <c r="ZM18" s="2"/>
      <c r="ZN18" s="2"/>
      <c r="ZO18" s="2"/>
      <c r="ZP18" s="2"/>
      <c r="ZQ18" s="2"/>
      <c r="ZR18" s="2"/>
      <c r="ZS18" s="2"/>
      <c r="ZT18" s="2"/>
      <c r="ZU18" s="2"/>
      <c r="ZV18" s="2"/>
      <c r="ZW18" s="2"/>
      <c r="ZX18" s="2"/>
      <c r="ZY18" s="2"/>
      <c r="ZZ18" s="2"/>
      <c r="AAA18" s="2"/>
      <c r="AAB18" s="2"/>
      <c r="AAC18" s="2"/>
      <c r="AAD18" s="2"/>
      <c r="AAE18" s="2"/>
      <c r="AAF18" s="2"/>
      <c r="AAG18" s="2"/>
      <c r="AAH18" s="2"/>
      <c r="AAI18" s="2"/>
      <c r="AAJ18" s="2"/>
      <c r="AAK18" s="2"/>
      <c r="AAL18" s="2"/>
      <c r="AAM18" s="2"/>
      <c r="AAN18" s="2"/>
      <c r="AAO18" s="2"/>
      <c r="AAP18" s="2"/>
      <c r="AAQ18" s="2"/>
      <c r="AAR18" s="2"/>
      <c r="AAS18" s="2"/>
      <c r="AAT18" s="2"/>
      <c r="AAU18" s="2"/>
      <c r="AAV18" s="2"/>
      <c r="AAW18" s="2"/>
      <c r="AAX18" s="2"/>
      <c r="AAY18" s="2"/>
      <c r="AAZ18" s="2"/>
      <c r="ABA18" s="2"/>
      <c r="ABB18" s="2"/>
      <c r="ABC18" s="2"/>
      <c r="ABD18" s="2"/>
      <c r="ABE18" s="2"/>
      <c r="ABF18" s="2"/>
      <c r="ABG18" s="2"/>
      <c r="ABH18" s="2"/>
      <c r="ABI18" s="2"/>
      <c r="ABJ18" s="2"/>
      <c r="ABK18" s="2"/>
      <c r="ABL18" s="2"/>
      <c r="ABM18" s="2"/>
      <c r="ABN18" s="2"/>
      <c r="ABO18" s="2"/>
      <c r="ABP18" s="2"/>
      <c r="ABQ18" s="2"/>
      <c r="ABR18" s="2"/>
      <c r="ABS18" s="2"/>
      <c r="ABT18" s="2"/>
      <c r="ABU18" s="2"/>
      <c r="ABV18" s="2"/>
      <c r="ABW18" s="2"/>
      <c r="ABX18" s="2"/>
      <c r="ABY18" s="2"/>
      <c r="ABZ18" s="2"/>
      <c r="ACA18" s="2"/>
      <c r="ACB18" s="2"/>
      <c r="ACC18" s="2"/>
      <c r="ACD18" s="2"/>
      <c r="ACE18" s="2"/>
      <c r="ACF18" s="2"/>
      <c r="ACG18" s="2"/>
      <c r="ACH18" s="2"/>
      <c r="ACI18" s="2"/>
      <c r="ACJ18" s="2"/>
      <c r="ACK18" s="2"/>
      <c r="ACL18" s="2"/>
      <c r="ACM18" s="2"/>
      <c r="ACN18" s="2"/>
      <c r="ACO18" s="2"/>
      <c r="ACP18" s="2"/>
      <c r="ACQ18" s="2"/>
      <c r="ACR18" s="2"/>
      <c r="ACS18" s="2"/>
      <c r="ACT18" s="2"/>
      <c r="ACU18" s="2"/>
      <c r="ACV18" s="2"/>
      <c r="ACW18" s="2"/>
      <c r="ACX18" s="2"/>
      <c r="ACY18" s="2"/>
      <c r="ACZ18" s="2"/>
      <c r="ADA18" s="2"/>
      <c r="ADB18" s="2"/>
      <c r="ADC18" s="2"/>
      <c r="ADD18" s="2"/>
      <c r="ADE18" s="2"/>
      <c r="ADF18" s="2"/>
      <c r="ADG18" s="2"/>
      <c r="ADH18" s="2"/>
      <c r="ADI18" s="2"/>
      <c r="ADJ18" s="2"/>
      <c r="ADK18" s="2"/>
      <c r="ADL18" s="2"/>
      <c r="ADM18" s="2"/>
      <c r="ADN18" s="2"/>
      <c r="ADO18" s="2"/>
      <c r="ADP18" s="2"/>
      <c r="ADQ18" s="2"/>
      <c r="ADR18" s="2"/>
      <c r="ADS18" s="2"/>
      <c r="ADT18" s="2"/>
      <c r="ADU18" s="2"/>
      <c r="ADV18" s="2"/>
      <c r="ADW18" s="2"/>
      <c r="ADX18" s="2"/>
      <c r="ADY18" s="2"/>
      <c r="ADZ18" s="2"/>
      <c r="AEA18" s="2"/>
      <c r="AEB18" s="2"/>
      <c r="AEC18" s="2"/>
      <c r="AED18" s="2"/>
      <c r="AEE18" s="2"/>
      <c r="AEF18" s="2"/>
      <c r="AEG18" s="2"/>
      <c r="AEH18" s="2"/>
      <c r="AEI18" s="2"/>
      <c r="AEJ18" s="2"/>
      <c r="AEK18" s="2"/>
      <c r="AEL18" s="2"/>
      <c r="AEM18" s="2"/>
      <c r="AEN18" s="2"/>
      <c r="AEO18" s="2"/>
      <c r="AEP18" s="2"/>
      <c r="AEQ18" s="2"/>
      <c r="AER18" s="2"/>
      <c r="AES18" s="2"/>
      <c r="AET18" s="2"/>
      <c r="AEU18" s="2"/>
      <c r="AEV18" s="2"/>
      <c r="AEW18" s="2"/>
      <c r="AEX18" s="2"/>
      <c r="AEY18" s="2"/>
      <c r="AEZ18" s="2"/>
      <c r="AFA18" s="2"/>
      <c r="AFB18" s="2"/>
      <c r="AFC18" s="2"/>
      <c r="AFD18" s="2"/>
      <c r="AFE18" s="2"/>
      <c r="AFF18" s="2"/>
      <c r="AFG18" s="2"/>
      <c r="AFH18" s="2"/>
      <c r="AFI18" s="2"/>
      <c r="AFJ18" s="2"/>
      <c r="AFK18" s="2"/>
      <c r="AFL18" s="2"/>
      <c r="AFM18" s="2"/>
      <c r="AFN18" s="2"/>
      <c r="AFO18" s="2"/>
      <c r="AFP18" s="2"/>
      <c r="AFQ18" s="2"/>
      <c r="AFR18" s="2"/>
      <c r="AFS18" s="2"/>
      <c r="AFT18" s="2"/>
      <c r="AFU18" s="2"/>
      <c r="AFV18" s="2"/>
      <c r="AFW18" s="2"/>
      <c r="AFX18" s="2"/>
      <c r="AFY18" s="2"/>
      <c r="AFZ18" s="2"/>
      <c r="AGA18" s="2"/>
      <c r="AGB18" s="2"/>
      <c r="AGC18" s="2"/>
      <c r="AGD18" s="2"/>
      <c r="AGE18" s="2"/>
      <c r="AGF18" s="2"/>
      <c r="AGG18" s="2"/>
      <c r="AGH18" s="2"/>
      <c r="AGI18" s="2"/>
      <c r="AGJ18" s="2"/>
      <c r="AGK18" s="2"/>
      <c r="AGL18" s="2"/>
      <c r="AGM18" s="2"/>
      <c r="AGN18" s="2"/>
      <c r="AGO18" s="2"/>
      <c r="AGP18" s="2"/>
      <c r="AGQ18" s="2"/>
      <c r="AGR18" s="2"/>
      <c r="AGS18" s="2"/>
      <c r="AGT18" s="2"/>
      <c r="AGU18" s="2"/>
      <c r="AGV18" s="2"/>
      <c r="AGW18" s="2"/>
      <c r="AGX18" s="2"/>
      <c r="AGY18" s="2"/>
      <c r="AGZ18" s="2"/>
      <c r="AHA18" s="2"/>
      <c r="AHB18" s="2"/>
      <c r="AHC18" s="2"/>
      <c r="AHD18" s="2"/>
      <c r="AHE18" s="2"/>
      <c r="AHF18" s="2"/>
      <c r="AHG18" s="2"/>
      <c r="AHH18" s="2"/>
      <c r="AHI18" s="2"/>
      <c r="AHJ18" s="2"/>
      <c r="AHK18" s="2"/>
      <c r="AHL18" s="2"/>
      <c r="AHM18" s="2"/>
      <c r="AHN18" s="2"/>
      <c r="AHO18" s="2"/>
      <c r="AHP18" s="2"/>
      <c r="AHQ18" s="2"/>
      <c r="AHR18" s="2"/>
      <c r="AHS18" s="2"/>
      <c r="AHT18" s="2"/>
      <c r="AHU18" s="2"/>
      <c r="AHV18" s="2"/>
      <c r="AHW18" s="2"/>
      <c r="AHX18" s="2"/>
      <c r="AHY18" s="2"/>
      <c r="AHZ18" s="2"/>
      <c r="AIA18" s="2"/>
      <c r="AIB18" s="2"/>
      <c r="AIC18" s="2"/>
      <c r="AID18" s="2"/>
      <c r="AIE18" s="2"/>
      <c r="AIF18" s="2"/>
      <c r="AIG18" s="2"/>
      <c r="AIH18" s="2"/>
      <c r="AII18" s="2"/>
      <c r="AIJ18" s="2"/>
      <c r="AIK18" s="2"/>
      <c r="AIL18" s="2"/>
      <c r="AIM18" s="2"/>
      <c r="AIN18" s="2"/>
      <c r="AIO18" s="2"/>
      <c r="AIP18" s="2"/>
      <c r="AIQ18" s="2"/>
      <c r="AIR18" s="2"/>
      <c r="AIS18" s="2"/>
      <c r="AIT18" s="2"/>
      <c r="AIU18" s="2"/>
      <c r="AIV18" s="2"/>
      <c r="AIW18" s="2"/>
      <c r="AIX18" s="2"/>
      <c r="AIY18" s="2"/>
      <c r="AIZ18" s="2"/>
      <c r="AJA18" s="2"/>
      <c r="AJB18" s="2"/>
      <c r="AJC18" s="2"/>
      <c r="AJD18" s="2"/>
      <c r="AJE18" s="2"/>
      <c r="AJF18" s="2"/>
      <c r="AJG18" s="2"/>
      <c r="AJH18" s="2"/>
      <c r="AJI18" s="2"/>
      <c r="AJJ18" s="2"/>
      <c r="AJK18" s="2"/>
      <c r="AJL18" s="2"/>
      <c r="AJM18" s="2"/>
      <c r="AJN18" s="2"/>
      <c r="AJO18" s="2"/>
      <c r="AJP18" s="2"/>
      <c r="AJQ18" s="2"/>
      <c r="AJR18" s="2"/>
      <c r="AJS18" s="2"/>
      <c r="AJT18" s="2"/>
      <c r="AJU18" s="2"/>
      <c r="AJV18" s="2"/>
      <c r="AJW18" s="2"/>
      <c r="AJX18" s="2"/>
      <c r="AJY18" s="2"/>
      <c r="AJZ18" s="2"/>
    </row>
    <row r="19" spans="1:962">
      <c r="A19" s="16">
        <v>18</v>
      </c>
      <c r="B19" s="8">
        <v>2</v>
      </c>
      <c r="C19" s="9">
        <v>7.74</v>
      </c>
      <c r="D19" s="9">
        <v>5.45</v>
      </c>
      <c r="E19" s="9">
        <v>2.04</v>
      </c>
      <c r="F19" s="9">
        <v>0.17</v>
      </c>
      <c r="G19" s="9">
        <v>497</v>
      </c>
      <c r="H19" s="17">
        <v>2</v>
      </c>
      <c r="I19" s="9">
        <f t="shared" si="0"/>
        <v>2.6715686274509802</v>
      </c>
      <c r="J19" s="9">
        <f t="shared" si="1"/>
        <v>8.3333333333333343E-2</v>
      </c>
      <c r="K19" s="9">
        <f t="shared" si="2"/>
        <v>243.62745098039215</v>
      </c>
      <c r="L19" s="9">
        <f t="shared" si="3"/>
        <v>1327.7696078431372</v>
      </c>
      <c r="M19" s="9"/>
      <c r="N19" s="9"/>
      <c r="O19" s="9">
        <v>6</v>
      </c>
      <c r="P19" s="9">
        <v>7.74</v>
      </c>
      <c r="Q19" s="9">
        <v>5.45</v>
      </c>
      <c r="R19" s="9">
        <v>2.04</v>
      </c>
      <c r="S19" s="9">
        <v>0.17</v>
      </c>
      <c r="T19" s="9">
        <v>0.06</v>
      </c>
      <c r="U19" s="9">
        <v>0.01</v>
      </c>
      <c r="V19" s="9">
        <v>0.02</v>
      </c>
      <c r="W19" s="9">
        <v>8.6300000000000008</v>
      </c>
      <c r="X19" s="20">
        <v>120</v>
      </c>
      <c r="Y19" s="9">
        <v>0.39</v>
      </c>
      <c r="Z19" s="9">
        <v>497</v>
      </c>
      <c r="AA19" s="9">
        <v>0.3</v>
      </c>
      <c r="AB19" s="24">
        <v>2.1000000000000001E-2</v>
      </c>
      <c r="AC19" s="9">
        <v>155.69999999999999</v>
      </c>
      <c r="AD19" s="9">
        <v>5.3</v>
      </c>
      <c r="AE19" s="9">
        <v>123.5</v>
      </c>
      <c r="AF19" s="9">
        <v>2.74</v>
      </c>
      <c r="AG19" s="9">
        <v>1.42</v>
      </c>
      <c r="AH19" s="9">
        <v>9.19</v>
      </c>
      <c r="AI19" s="9">
        <v>141.59</v>
      </c>
      <c r="AJ19" s="9"/>
      <c r="AK19" s="9"/>
      <c r="AL19" s="9">
        <v>79.09</v>
      </c>
      <c r="AM19" s="9">
        <v>31.51</v>
      </c>
      <c r="AN19" s="24">
        <v>1.06</v>
      </c>
      <c r="AO19" s="9">
        <v>0.2</v>
      </c>
      <c r="AP19" s="16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  <c r="JC19" s="2"/>
      <c r="JD19" s="2"/>
      <c r="JE19" s="2"/>
      <c r="JF19" s="2"/>
      <c r="JG19" s="2"/>
      <c r="JH19" s="2"/>
      <c r="JI19" s="2"/>
      <c r="JJ19" s="2"/>
      <c r="JK19" s="2"/>
      <c r="JL19" s="2"/>
      <c r="JM19" s="2"/>
      <c r="JN19" s="2"/>
      <c r="JO19" s="2"/>
      <c r="JP19" s="2"/>
      <c r="JQ19" s="2"/>
      <c r="JR19" s="2"/>
      <c r="JS19" s="2"/>
      <c r="JT19" s="2"/>
      <c r="JU19" s="2"/>
      <c r="JV19" s="2"/>
      <c r="JW19" s="2"/>
      <c r="JX19" s="2"/>
      <c r="JY19" s="2"/>
      <c r="JZ19" s="2"/>
      <c r="KA19" s="2"/>
      <c r="KB19" s="2"/>
      <c r="KC19" s="2"/>
      <c r="KD19" s="2"/>
      <c r="KE19" s="2"/>
      <c r="KF19" s="2"/>
      <c r="KG19" s="2"/>
      <c r="KH19" s="2"/>
      <c r="KI19" s="2"/>
      <c r="KJ19" s="2"/>
      <c r="KK19" s="2"/>
      <c r="KL19" s="2"/>
      <c r="KM19" s="2"/>
      <c r="KN19" s="2"/>
      <c r="KO19" s="2"/>
      <c r="KP19" s="2"/>
      <c r="KQ19" s="2"/>
      <c r="KR19" s="2"/>
      <c r="KS19" s="2"/>
      <c r="KT19" s="2"/>
      <c r="KU19" s="2"/>
      <c r="KV19" s="2"/>
      <c r="KW19" s="2"/>
      <c r="KX19" s="2"/>
      <c r="KY19" s="2"/>
      <c r="KZ19" s="2"/>
      <c r="LA19" s="2"/>
      <c r="LB19" s="2"/>
      <c r="LC19" s="2"/>
      <c r="LD19" s="2"/>
      <c r="LE19" s="2"/>
      <c r="LF19" s="2"/>
      <c r="LG19" s="2"/>
      <c r="LH19" s="2"/>
      <c r="LI19" s="2"/>
      <c r="LJ19" s="2"/>
      <c r="LK19" s="2"/>
      <c r="LL19" s="2"/>
      <c r="LM19" s="2"/>
      <c r="LN19" s="2"/>
      <c r="LO19" s="2"/>
      <c r="LP19" s="2"/>
      <c r="LQ19" s="2"/>
      <c r="LR19" s="2"/>
      <c r="LS19" s="2"/>
      <c r="LT19" s="2"/>
      <c r="LU19" s="2"/>
      <c r="LV19" s="2"/>
      <c r="LW19" s="2"/>
      <c r="LX19" s="2"/>
      <c r="LY19" s="2"/>
      <c r="LZ19" s="2"/>
      <c r="MA19" s="2"/>
      <c r="MB19" s="2"/>
      <c r="MC19" s="2"/>
      <c r="MD19" s="2"/>
      <c r="ME19" s="2"/>
      <c r="MF19" s="2"/>
      <c r="MG19" s="2"/>
      <c r="MH19" s="2"/>
      <c r="MI19" s="2"/>
      <c r="MJ19" s="2"/>
      <c r="MK19" s="2"/>
      <c r="ML19" s="2"/>
      <c r="MM19" s="2"/>
      <c r="MN19" s="2"/>
      <c r="MO19" s="2"/>
      <c r="MP19" s="2"/>
      <c r="MQ19" s="2"/>
      <c r="MR19" s="2"/>
      <c r="MS19" s="2"/>
      <c r="MT19" s="2"/>
      <c r="MU19" s="2"/>
      <c r="MV19" s="2"/>
      <c r="MW19" s="2"/>
      <c r="MX19" s="2"/>
      <c r="MY19" s="2"/>
      <c r="MZ19" s="2"/>
      <c r="NA19" s="2"/>
      <c r="NB19" s="2"/>
      <c r="NC19" s="2"/>
      <c r="ND19" s="2"/>
      <c r="NE19" s="2"/>
      <c r="NF19" s="2"/>
      <c r="NG19" s="2"/>
      <c r="NH19" s="2"/>
      <c r="NI19" s="2"/>
      <c r="NJ19" s="2"/>
      <c r="NK19" s="2"/>
      <c r="NL19" s="2"/>
      <c r="NM19" s="2"/>
      <c r="NN19" s="2"/>
      <c r="NO19" s="2"/>
      <c r="NP19" s="2"/>
      <c r="NQ19" s="2"/>
      <c r="NR19" s="2"/>
      <c r="NS19" s="2"/>
      <c r="NT19" s="2"/>
      <c r="NU19" s="2"/>
      <c r="NV19" s="2"/>
      <c r="NW19" s="2"/>
      <c r="NX19" s="2"/>
      <c r="NY19" s="2"/>
      <c r="NZ19" s="2"/>
      <c r="OA19" s="2"/>
      <c r="OB19" s="2"/>
      <c r="OC19" s="2"/>
      <c r="OD19" s="2"/>
      <c r="OE19" s="2"/>
      <c r="OF19" s="2"/>
      <c r="OG19" s="2"/>
      <c r="OH19" s="2"/>
      <c r="OI19" s="2"/>
      <c r="OJ19" s="2"/>
      <c r="OK19" s="2"/>
      <c r="OL19" s="2"/>
      <c r="OM19" s="2"/>
      <c r="ON19" s="2"/>
      <c r="OO19" s="2"/>
      <c r="OP19" s="2"/>
      <c r="OQ19" s="2"/>
      <c r="OR19" s="2"/>
      <c r="OS19" s="2"/>
      <c r="OT19" s="2"/>
      <c r="OU19" s="2"/>
      <c r="OV19" s="2"/>
      <c r="OW19" s="2"/>
      <c r="OX19" s="2"/>
      <c r="OY19" s="2"/>
      <c r="OZ19" s="2"/>
      <c r="PA19" s="2"/>
      <c r="PB19" s="2"/>
      <c r="PC19" s="2"/>
      <c r="PD19" s="2"/>
      <c r="PE19" s="2"/>
      <c r="PF19" s="2"/>
      <c r="PG19" s="2"/>
      <c r="PH19" s="2"/>
      <c r="PI19" s="2"/>
      <c r="PJ19" s="2"/>
      <c r="PK19" s="2"/>
      <c r="PL19" s="2"/>
      <c r="PM19" s="2"/>
      <c r="PN19" s="2"/>
      <c r="PO19" s="2"/>
      <c r="PP19" s="2"/>
      <c r="PQ19" s="2"/>
      <c r="PR19" s="2"/>
      <c r="PS19" s="2"/>
      <c r="PT19" s="2"/>
      <c r="PU19" s="2"/>
      <c r="PV19" s="2"/>
      <c r="PW19" s="2"/>
      <c r="PX19" s="2"/>
      <c r="PY19" s="2"/>
      <c r="PZ19" s="2"/>
      <c r="QA19" s="2"/>
      <c r="QB19" s="2"/>
      <c r="QC19" s="2"/>
      <c r="QD19" s="2"/>
      <c r="QE19" s="2"/>
      <c r="QF19" s="2"/>
      <c r="QG19" s="2"/>
      <c r="QH19" s="2"/>
      <c r="QI19" s="2"/>
      <c r="QJ19" s="2"/>
      <c r="QK19" s="2"/>
      <c r="QL19" s="2"/>
      <c r="QM19" s="2"/>
      <c r="QN19" s="2"/>
      <c r="QO19" s="2"/>
      <c r="QP19" s="2"/>
      <c r="QQ19" s="2"/>
      <c r="QR19" s="2"/>
      <c r="QS19" s="2"/>
      <c r="QT19" s="2"/>
      <c r="QU19" s="2"/>
      <c r="QV19" s="2"/>
      <c r="QW19" s="2"/>
      <c r="QX19" s="2"/>
      <c r="QY19" s="2"/>
      <c r="QZ19" s="2"/>
      <c r="RA19" s="2"/>
      <c r="RB19" s="2"/>
      <c r="RC19" s="2"/>
      <c r="RD19" s="2"/>
      <c r="RE19" s="2"/>
      <c r="RF19" s="2"/>
      <c r="RG19" s="2"/>
      <c r="RH19" s="2"/>
      <c r="RI19" s="2"/>
      <c r="RJ19" s="2"/>
      <c r="RK19" s="2"/>
      <c r="RL19" s="2"/>
      <c r="RM19" s="2"/>
      <c r="RN19" s="2"/>
      <c r="RO19" s="2"/>
      <c r="RP19" s="2"/>
      <c r="RQ19" s="2"/>
      <c r="RR19" s="2"/>
      <c r="RS19" s="2"/>
      <c r="RT19" s="2"/>
      <c r="RU19" s="2"/>
      <c r="RV19" s="2"/>
      <c r="RW19" s="2"/>
      <c r="RX19" s="2"/>
      <c r="RY19" s="2"/>
      <c r="RZ19" s="2"/>
      <c r="SA19" s="2"/>
      <c r="SB19" s="2"/>
      <c r="SC19" s="2"/>
      <c r="SD19" s="2"/>
      <c r="SE19" s="2"/>
      <c r="SF19" s="2"/>
      <c r="SG19" s="2"/>
      <c r="SH19" s="2"/>
      <c r="SI19" s="2"/>
      <c r="SJ19" s="2"/>
      <c r="SK19" s="2"/>
      <c r="SL19" s="2"/>
      <c r="SM19" s="2"/>
      <c r="SN19" s="2"/>
      <c r="SO19" s="2"/>
      <c r="SP19" s="2"/>
      <c r="SQ19" s="2"/>
      <c r="SR19" s="2"/>
      <c r="SS19" s="2"/>
      <c r="ST19" s="2"/>
      <c r="SU19" s="2"/>
      <c r="SV19" s="2"/>
      <c r="SW19" s="2"/>
      <c r="SX19" s="2"/>
      <c r="SY19" s="2"/>
      <c r="SZ19" s="2"/>
      <c r="TA19" s="2"/>
      <c r="TB19" s="2"/>
      <c r="TC19" s="2"/>
      <c r="TD19" s="2"/>
      <c r="TE19" s="2"/>
      <c r="TF19" s="2"/>
      <c r="TG19" s="2"/>
      <c r="TH19" s="2"/>
      <c r="TI19" s="2"/>
      <c r="TJ19" s="2"/>
      <c r="TK19" s="2"/>
      <c r="TL19" s="2"/>
      <c r="TM19" s="2"/>
      <c r="TN19" s="2"/>
      <c r="TO19" s="2"/>
      <c r="TP19" s="2"/>
      <c r="TQ19" s="2"/>
      <c r="TR19" s="2"/>
      <c r="TS19" s="2"/>
      <c r="TT19" s="2"/>
      <c r="TU19" s="2"/>
      <c r="TV19" s="2"/>
      <c r="TW19" s="2"/>
      <c r="TX19" s="2"/>
      <c r="TY19" s="2"/>
      <c r="TZ19" s="2"/>
      <c r="UA19" s="2"/>
      <c r="UB19" s="2"/>
      <c r="UC19" s="2"/>
      <c r="UD19" s="2"/>
      <c r="UE19" s="2"/>
      <c r="UF19" s="2"/>
      <c r="UG19" s="2"/>
      <c r="UH19" s="2"/>
      <c r="UI19" s="2"/>
      <c r="UJ19" s="2"/>
      <c r="UK19" s="2"/>
      <c r="UL19" s="2"/>
      <c r="UM19" s="2"/>
      <c r="UN19" s="2"/>
      <c r="UO19" s="2"/>
      <c r="UP19" s="2"/>
      <c r="UQ19" s="2"/>
      <c r="UR19" s="2"/>
      <c r="US19" s="2"/>
      <c r="UT19" s="2"/>
      <c r="UU19" s="2"/>
      <c r="UV19" s="2"/>
      <c r="UW19" s="2"/>
      <c r="UX19" s="2"/>
      <c r="UY19" s="2"/>
      <c r="UZ19" s="2"/>
      <c r="VA19" s="2"/>
      <c r="VB19" s="2"/>
      <c r="VC19" s="2"/>
      <c r="VD19" s="2"/>
      <c r="VE19" s="2"/>
      <c r="VF19" s="2"/>
      <c r="VG19" s="2"/>
      <c r="VH19" s="2"/>
      <c r="VI19" s="2"/>
      <c r="VJ19" s="2"/>
      <c r="VK19" s="2"/>
      <c r="VL19" s="2"/>
      <c r="VM19" s="2"/>
      <c r="VN19" s="2"/>
      <c r="VO19" s="2"/>
      <c r="VP19" s="2"/>
      <c r="VQ19" s="2"/>
      <c r="VR19" s="2"/>
      <c r="VS19" s="2"/>
      <c r="VT19" s="2"/>
      <c r="VU19" s="2"/>
      <c r="VV19" s="2"/>
      <c r="VW19" s="2"/>
      <c r="VX19" s="2"/>
      <c r="VY19" s="2"/>
      <c r="VZ19" s="2"/>
      <c r="WA19" s="2"/>
      <c r="WB19" s="2"/>
      <c r="WC19" s="2"/>
      <c r="WD19" s="2"/>
      <c r="WE19" s="2"/>
      <c r="WF19" s="2"/>
      <c r="WG19" s="2"/>
      <c r="WH19" s="2"/>
      <c r="WI19" s="2"/>
      <c r="WJ19" s="2"/>
      <c r="WK19" s="2"/>
      <c r="WL19" s="2"/>
      <c r="WM19" s="2"/>
      <c r="WN19" s="2"/>
      <c r="WO19" s="2"/>
      <c r="WP19" s="2"/>
      <c r="WQ19" s="2"/>
      <c r="WR19" s="2"/>
      <c r="WS19" s="2"/>
      <c r="WT19" s="2"/>
      <c r="WU19" s="2"/>
      <c r="WV19" s="2"/>
      <c r="WW19" s="2"/>
      <c r="WX19" s="2"/>
      <c r="WY19" s="2"/>
      <c r="WZ19" s="2"/>
      <c r="XA19" s="2"/>
      <c r="XB19" s="2"/>
      <c r="XC19" s="2"/>
      <c r="XD19" s="2"/>
      <c r="XE19" s="2"/>
      <c r="XF19" s="2"/>
      <c r="XG19" s="2"/>
      <c r="XH19" s="2"/>
      <c r="XI19" s="2"/>
      <c r="XJ19" s="2"/>
      <c r="XK19" s="2"/>
      <c r="XL19" s="2"/>
      <c r="XM19" s="2"/>
      <c r="XN19" s="2"/>
      <c r="XO19" s="2"/>
      <c r="XP19" s="2"/>
      <c r="XQ19" s="2"/>
      <c r="XR19" s="2"/>
      <c r="XS19" s="2"/>
      <c r="XT19" s="2"/>
      <c r="XU19" s="2"/>
      <c r="XV19" s="2"/>
      <c r="XW19" s="2"/>
      <c r="XX19" s="2"/>
      <c r="XY19" s="2"/>
      <c r="XZ19" s="2"/>
      <c r="YA19" s="2"/>
      <c r="YB19" s="2"/>
      <c r="YC19" s="2"/>
      <c r="YD19" s="2"/>
      <c r="YE19" s="2"/>
      <c r="YF19" s="2"/>
      <c r="YG19" s="2"/>
      <c r="YH19" s="2"/>
      <c r="YI19" s="2"/>
      <c r="YJ19" s="2"/>
      <c r="YK19" s="2"/>
      <c r="YL19" s="2"/>
      <c r="YM19" s="2"/>
      <c r="YN19" s="2"/>
      <c r="YO19" s="2"/>
      <c r="YP19" s="2"/>
      <c r="YQ19" s="2"/>
      <c r="YR19" s="2"/>
      <c r="YS19" s="2"/>
      <c r="YT19" s="2"/>
      <c r="YU19" s="2"/>
      <c r="YV19" s="2"/>
      <c r="YW19" s="2"/>
      <c r="YX19" s="2"/>
      <c r="YY19" s="2"/>
      <c r="YZ19" s="2"/>
      <c r="ZA19" s="2"/>
      <c r="ZB19" s="2"/>
      <c r="ZC19" s="2"/>
      <c r="ZD19" s="2"/>
      <c r="ZE19" s="2"/>
      <c r="ZF19" s="2"/>
      <c r="ZG19" s="2"/>
      <c r="ZH19" s="2"/>
      <c r="ZI19" s="2"/>
      <c r="ZJ19" s="2"/>
      <c r="ZK19" s="2"/>
      <c r="ZL19" s="2"/>
      <c r="ZM19" s="2"/>
      <c r="ZN19" s="2"/>
      <c r="ZO19" s="2"/>
      <c r="ZP19" s="2"/>
      <c r="ZQ19" s="2"/>
      <c r="ZR19" s="2"/>
      <c r="ZS19" s="2"/>
      <c r="ZT19" s="2"/>
      <c r="ZU19" s="2"/>
      <c r="ZV19" s="2"/>
      <c r="ZW19" s="2"/>
      <c r="ZX19" s="2"/>
      <c r="ZY19" s="2"/>
      <c r="ZZ19" s="2"/>
      <c r="AAA19" s="2"/>
      <c r="AAB19" s="2"/>
      <c r="AAC19" s="2"/>
      <c r="AAD19" s="2"/>
      <c r="AAE19" s="2"/>
      <c r="AAF19" s="2"/>
      <c r="AAG19" s="2"/>
      <c r="AAH19" s="2"/>
      <c r="AAI19" s="2"/>
      <c r="AAJ19" s="2"/>
      <c r="AAK19" s="2"/>
      <c r="AAL19" s="2"/>
      <c r="AAM19" s="2"/>
      <c r="AAN19" s="2"/>
      <c r="AAO19" s="2"/>
      <c r="AAP19" s="2"/>
      <c r="AAQ19" s="2"/>
      <c r="AAR19" s="2"/>
      <c r="AAS19" s="2"/>
      <c r="AAT19" s="2"/>
      <c r="AAU19" s="2"/>
      <c r="AAV19" s="2"/>
      <c r="AAW19" s="2"/>
      <c r="AAX19" s="2"/>
      <c r="AAY19" s="2"/>
      <c r="AAZ19" s="2"/>
      <c r="ABA19" s="2"/>
      <c r="ABB19" s="2"/>
      <c r="ABC19" s="2"/>
      <c r="ABD19" s="2"/>
      <c r="ABE19" s="2"/>
      <c r="ABF19" s="2"/>
      <c r="ABG19" s="2"/>
      <c r="ABH19" s="2"/>
      <c r="ABI19" s="2"/>
      <c r="ABJ19" s="2"/>
      <c r="ABK19" s="2"/>
      <c r="ABL19" s="2"/>
      <c r="ABM19" s="2"/>
      <c r="ABN19" s="2"/>
      <c r="ABO19" s="2"/>
      <c r="ABP19" s="2"/>
      <c r="ABQ19" s="2"/>
      <c r="ABR19" s="2"/>
      <c r="ABS19" s="2"/>
      <c r="ABT19" s="2"/>
      <c r="ABU19" s="2"/>
      <c r="ABV19" s="2"/>
      <c r="ABW19" s="2"/>
      <c r="ABX19" s="2"/>
      <c r="ABY19" s="2"/>
      <c r="ABZ19" s="2"/>
      <c r="ACA19" s="2"/>
      <c r="ACB19" s="2"/>
      <c r="ACC19" s="2"/>
      <c r="ACD19" s="2"/>
      <c r="ACE19" s="2"/>
      <c r="ACF19" s="2"/>
      <c r="ACG19" s="2"/>
      <c r="ACH19" s="2"/>
      <c r="ACI19" s="2"/>
      <c r="ACJ19" s="2"/>
      <c r="ACK19" s="2"/>
      <c r="ACL19" s="2"/>
      <c r="ACM19" s="2"/>
      <c r="ACN19" s="2"/>
      <c r="ACO19" s="2"/>
      <c r="ACP19" s="2"/>
      <c r="ACQ19" s="2"/>
      <c r="ACR19" s="2"/>
      <c r="ACS19" s="2"/>
      <c r="ACT19" s="2"/>
      <c r="ACU19" s="2"/>
      <c r="ACV19" s="2"/>
      <c r="ACW19" s="2"/>
      <c r="ACX19" s="2"/>
      <c r="ACY19" s="2"/>
      <c r="ACZ19" s="2"/>
      <c r="ADA19" s="2"/>
      <c r="ADB19" s="2"/>
      <c r="ADC19" s="2"/>
      <c r="ADD19" s="2"/>
      <c r="ADE19" s="2"/>
      <c r="ADF19" s="2"/>
      <c r="ADG19" s="2"/>
      <c r="ADH19" s="2"/>
      <c r="ADI19" s="2"/>
      <c r="ADJ19" s="2"/>
      <c r="ADK19" s="2"/>
      <c r="ADL19" s="2"/>
      <c r="ADM19" s="2"/>
      <c r="ADN19" s="2"/>
      <c r="ADO19" s="2"/>
      <c r="ADP19" s="2"/>
      <c r="ADQ19" s="2"/>
      <c r="ADR19" s="2"/>
      <c r="ADS19" s="2"/>
      <c r="ADT19" s="2"/>
      <c r="ADU19" s="2"/>
      <c r="ADV19" s="2"/>
      <c r="ADW19" s="2"/>
      <c r="ADX19" s="2"/>
      <c r="ADY19" s="2"/>
      <c r="ADZ19" s="2"/>
      <c r="AEA19" s="2"/>
      <c r="AEB19" s="2"/>
      <c r="AEC19" s="2"/>
      <c r="AED19" s="2"/>
      <c r="AEE19" s="2"/>
      <c r="AEF19" s="2"/>
      <c r="AEG19" s="2"/>
      <c r="AEH19" s="2"/>
      <c r="AEI19" s="2"/>
      <c r="AEJ19" s="2"/>
      <c r="AEK19" s="2"/>
      <c r="AEL19" s="2"/>
      <c r="AEM19" s="2"/>
      <c r="AEN19" s="2"/>
      <c r="AEO19" s="2"/>
      <c r="AEP19" s="2"/>
      <c r="AEQ19" s="2"/>
      <c r="AER19" s="2"/>
      <c r="AES19" s="2"/>
      <c r="AET19" s="2"/>
      <c r="AEU19" s="2"/>
      <c r="AEV19" s="2"/>
      <c r="AEW19" s="2"/>
      <c r="AEX19" s="2"/>
      <c r="AEY19" s="2"/>
      <c r="AEZ19" s="2"/>
      <c r="AFA19" s="2"/>
      <c r="AFB19" s="2"/>
      <c r="AFC19" s="2"/>
      <c r="AFD19" s="2"/>
      <c r="AFE19" s="2"/>
      <c r="AFF19" s="2"/>
      <c r="AFG19" s="2"/>
      <c r="AFH19" s="2"/>
      <c r="AFI19" s="2"/>
      <c r="AFJ19" s="2"/>
      <c r="AFK19" s="2"/>
      <c r="AFL19" s="2"/>
      <c r="AFM19" s="2"/>
      <c r="AFN19" s="2"/>
      <c r="AFO19" s="2"/>
      <c r="AFP19" s="2"/>
      <c r="AFQ19" s="2"/>
      <c r="AFR19" s="2"/>
      <c r="AFS19" s="2"/>
      <c r="AFT19" s="2"/>
      <c r="AFU19" s="2"/>
      <c r="AFV19" s="2"/>
      <c r="AFW19" s="2"/>
      <c r="AFX19" s="2"/>
      <c r="AFY19" s="2"/>
      <c r="AFZ19" s="2"/>
      <c r="AGA19" s="2"/>
      <c r="AGB19" s="2"/>
      <c r="AGC19" s="2"/>
      <c r="AGD19" s="2"/>
      <c r="AGE19" s="2"/>
      <c r="AGF19" s="2"/>
      <c r="AGG19" s="2"/>
      <c r="AGH19" s="2"/>
      <c r="AGI19" s="2"/>
      <c r="AGJ19" s="2"/>
      <c r="AGK19" s="2"/>
      <c r="AGL19" s="2"/>
      <c r="AGM19" s="2"/>
      <c r="AGN19" s="2"/>
      <c r="AGO19" s="2"/>
      <c r="AGP19" s="2"/>
      <c r="AGQ19" s="2"/>
      <c r="AGR19" s="2"/>
      <c r="AGS19" s="2"/>
      <c r="AGT19" s="2"/>
      <c r="AGU19" s="2"/>
      <c r="AGV19" s="2"/>
      <c r="AGW19" s="2"/>
      <c r="AGX19" s="2"/>
      <c r="AGY19" s="2"/>
      <c r="AGZ19" s="2"/>
      <c r="AHA19" s="2"/>
      <c r="AHB19" s="2"/>
      <c r="AHC19" s="2"/>
      <c r="AHD19" s="2"/>
      <c r="AHE19" s="2"/>
      <c r="AHF19" s="2"/>
      <c r="AHG19" s="2"/>
      <c r="AHH19" s="2"/>
      <c r="AHI19" s="2"/>
      <c r="AHJ19" s="2"/>
      <c r="AHK19" s="2"/>
      <c r="AHL19" s="2"/>
      <c r="AHM19" s="2"/>
      <c r="AHN19" s="2"/>
      <c r="AHO19" s="2"/>
      <c r="AHP19" s="2"/>
      <c r="AHQ19" s="2"/>
      <c r="AHR19" s="2"/>
      <c r="AHS19" s="2"/>
      <c r="AHT19" s="2"/>
      <c r="AHU19" s="2"/>
      <c r="AHV19" s="2"/>
      <c r="AHW19" s="2"/>
      <c r="AHX19" s="2"/>
      <c r="AHY19" s="2"/>
      <c r="AHZ19" s="2"/>
      <c r="AIA19" s="2"/>
      <c r="AIB19" s="2"/>
      <c r="AIC19" s="2"/>
      <c r="AID19" s="2"/>
      <c r="AIE19" s="2"/>
      <c r="AIF19" s="2"/>
      <c r="AIG19" s="2"/>
      <c r="AIH19" s="2"/>
      <c r="AII19" s="2"/>
      <c r="AIJ19" s="2"/>
      <c r="AIK19" s="2"/>
      <c r="AIL19" s="2"/>
      <c r="AIM19" s="2"/>
      <c r="AIN19" s="2"/>
      <c r="AIO19" s="2"/>
      <c r="AIP19" s="2"/>
      <c r="AIQ19" s="2"/>
      <c r="AIR19" s="2"/>
      <c r="AIS19" s="2"/>
      <c r="AIT19" s="2"/>
      <c r="AIU19" s="2"/>
      <c r="AIV19" s="2"/>
      <c r="AIW19" s="2"/>
      <c r="AIX19" s="2"/>
      <c r="AIY19" s="2"/>
      <c r="AIZ19" s="2"/>
      <c r="AJA19" s="2"/>
      <c r="AJB19" s="2"/>
      <c r="AJC19" s="2"/>
      <c r="AJD19" s="2"/>
      <c r="AJE19" s="2"/>
      <c r="AJF19" s="2"/>
      <c r="AJG19" s="2"/>
      <c r="AJH19" s="2"/>
      <c r="AJI19" s="2"/>
      <c r="AJJ19" s="2"/>
      <c r="AJK19" s="2"/>
      <c r="AJL19" s="2"/>
      <c r="AJM19" s="2"/>
      <c r="AJN19" s="2"/>
      <c r="AJO19" s="2"/>
      <c r="AJP19" s="2"/>
      <c r="AJQ19" s="2"/>
      <c r="AJR19" s="2"/>
      <c r="AJS19" s="2"/>
      <c r="AJT19" s="2"/>
      <c r="AJU19" s="2"/>
      <c r="AJV19" s="2"/>
      <c r="AJW19" s="2"/>
      <c r="AJX19" s="2"/>
      <c r="AJY19" s="2"/>
      <c r="AJZ19" s="2"/>
    </row>
    <row r="20" spans="1:962">
      <c r="A20" s="16">
        <v>19</v>
      </c>
      <c r="B20" s="8">
        <v>2</v>
      </c>
      <c r="C20" s="9">
        <v>5.1100000000000003</v>
      </c>
      <c r="D20" s="9">
        <v>2.84</v>
      </c>
      <c r="E20" s="9">
        <v>1.69</v>
      </c>
      <c r="F20" s="9">
        <v>0.1</v>
      </c>
      <c r="G20" s="9">
        <v>218</v>
      </c>
      <c r="H20" s="17">
        <v>2</v>
      </c>
      <c r="I20" s="9">
        <f t="shared" si="0"/>
        <v>1.680473372781065</v>
      </c>
      <c r="J20" s="9">
        <f t="shared" si="1"/>
        <v>5.9171597633136098E-2</v>
      </c>
      <c r="K20" s="9">
        <f t="shared" si="2"/>
        <v>128.9940828402367</v>
      </c>
      <c r="L20" s="9">
        <f t="shared" si="3"/>
        <v>366.34319526627218</v>
      </c>
      <c r="M20" s="8">
        <v>11</v>
      </c>
      <c r="N20" s="9" t="s">
        <v>26</v>
      </c>
      <c r="O20" s="9">
        <v>8</v>
      </c>
      <c r="P20" s="9">
        <v>5.1100000000000003</v>
      </c>
      <c r="Q20" s="9">
        <v>2.84</v>
      </c>
      <c r="R20" s="9">
        <v>1.69</v>
      </c>
      <c r="S20" s="9">
        <v>0.1</v>
      </c>
      <c r="T20" s="9">
        <v>0.48</v>
      </c>
      <c r="U20" s="9">
        <v>0</v>
      </c>
      <c r="V20" s="9">
        <v>0</v>
      </c>
      <c r="W20" s="9">
        <v>9.99</v>
      </c>
      <c r="X20" s="20">
        <v>124</v>
      </c>
      <c r="Y20" s="9">
        <v>0.4</v>
      </c>
      <c r="Z20" s="9">
        <v>218</v>
      </c>
      <c r="AA20" s="9">
        <v>0.4</v>
      </c>
      <c r="AB20" s="24">
        <v>4.2000000000000003E-2</v>
      </c>
      <c r="AC20" s="9">
        <v>151.4</v>
      </c>
      <c r="AD20" s="9">
        <v>3.87</v>
      </c>
      <c r="AE20" s="9">
        <v>120.3</v>
      </c>
      <c r="AF20" s="9">
        <v>2.52</v>
      </c>
      <c r="AG20" s="9">
        <v>1.4</v>
      </c>
      <c r="AH20" s="9">
        <v>8</v>
      </c>
      <c r="AI20" s="9">
        <v>193.4</v>
      </c>
      <c r="AJ20" s="9">
        <v>14.3</v>
      </c>
      <c r="AK20" s="9">
        <v>28.7</v>
      </c>
      <c r="AL20" s="9">
        <v>70.23</v>
      </c>
      <c r="AM20" s="9">
        <v>33.97</v>
      </c>
      <c r="AN20" s="24">
        <v>1.046</v>
      </c>
      <c r="AO20" s="9">
        <v>0.215</v>
      </c>
      <c r="AP20" s="16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  <c r="JC20" s="2"/>
      <c r="JD20" s="2"/>
      <c r="JE20" s="2"/>
      <c r="JF20" s="2"/>
      <c r="JG20" s="2"/>
      <c r="JH20" s="2"/>
      <c r="JI20" s="2"/>
      <c r="JJ20" s="2"/>
      <c r="JK20" s="2"/>
      <c r="JL20" s="2"/>
      <c r="JM20" s="2"/>
      <c r="JN20" s="2"/>
      <c r="JO20" s="2"/>
      <c r="JP20" s="2"/>
      <c r="JQ20" s="2"/>
      <c r="JR20" s="2"/>
      <c r="JS20" s="2"/>
      <c r="JT20" s="2"/>
      <c r="JU20" s="2"/>
      <c r="JV20" s="2"/>
      <c r="JW20" s="2"/>
      <c r="JX20" s="2"/>
      <c r="JY20" s="2"/>
      <c r="JZ20" s="2"/>
      <c r="KA20" s="2"/>
      <c r="KB20" s="2"/>
      <c r="KC20" s="2"/>
      <c r="KD20" s="2"/>
      <c r="KE20" s="2"/>
      <c r="KF20" s="2"/>
      <c r="KG20" s="2"/>
      <c r="KH20" s="2"/>
      <c r="KI20" s="2"/>
      <c r="KJ20" s="2"/>
      <c r="KK20" s="2"/>
      <c r="KL20" s="2"/>
      <c r="KM20" s="2"/>
      <c r="KN20" s="2"/>
      <c r="KO20" s="2"/>
      <c r="KP20" s="2"/>
      <c r="KQ20" s="2"/>
      <c r="KR20" s="2"/>
      <c r="KS20" s="2"/>
      <c r="KT20" s="2"/>
      <c r="KU20" s="2"/>
      <c r="KV20" s="2"/>
      <c r="KW20" s="2"/>
      <c r="KX20" s="2"/>
      <c r="KY20" s="2"/>
      <c r="KZ20" s="2"/>
      <c r="LA20" s="2"/>
      <c r="LB20" s="2"/>
      <c r="LC20" s="2"/>
      <c r="LD20" s="2"/>
      <c r="LE20" s="2"/>
      <c r="LF20" s="2"/>
      <c r="LG20" s="2"/>
      <c r="LH20" s="2"/>
      <c r="LI20" s="2"/>
      <c r="LJ20" s="2"/>
      <c r="LK20" s="2"/>
      <c r="LL20" s="2"/>
      <c r="LM20" s="2"/>
      <c r="LN20" s="2"/>
      <c r="LO20" s="2"/>
      <c r="LP20" s="2"/>
      <c r="LQ20" s="2"/>
      <c r="LR20" s="2"/>
      <c r="LS20" s="2"/>
      <c r="LT20" s="2"/>
      <c r="LU20" s="2"/>
      <c r="LV20" s="2"/>
      <c r="LW20" s="2"/>
      <c r="LX20" s="2"/>
      <c r="LY20" s="2"/>
      <c r="LZ20" s="2"/>
      <c r="MA20" s="2"/>
      <c r="MB20" s="2"/>
      <c r="MC20" s="2"/>
      <c r="MD20" s="2"/>
      <c r="ME20" s="2"/>
      <c r="MF20" s="2"/>
      <c r="MG20" s="2"/>
      <c r="MH20" s="2"/>
      <c r="MI20" s="2"/>
      <c r="MJ20" s="2"/>
      <c r="MK20" s="2"/>
      <c r="ML20" s="2"/>
      <c r="MM20" s="2"/>
      <c r="MN20" s="2"/>
      <c r="MO20" s="2"/>
      <c r="MP20" s="2"/>
      <c r="MQ20" s="2"/>
      <c r="MR20" s="2"/>
      <c r="MS20" s="2"/>
      <c r="MT20" s="2"/>
      <c r="MU20" s="2"/>
      <c r="MV20" s="2"/>
      <c r="MW20" s="2"/>
      <c r="MX20" s="2"/>
      <c r="MY20" s="2"/>
      <c r="MZ20" s="2"/>
      <c r="NA20" s="2"/>
      <c r="NB20" s="2"/>
      <c r="NC20" s="2"/>
      <c r="ND20" s="2"/>
      <c r="NE20" s="2"/>
      <c r="NF20" s="2"/>
      <c r="NG20" s="2"/>
      <c r="NH20" s="2"/>
      <c r="NI20" s="2"/>
      <c r="NJ20" s="2"/>
      <c r="NK20" s="2"/>
      <c r="NL20" s="2"/>
      <c r="NM20" s="2"/>
      <c r="NN20" s="2"/>
      <c r="NO20" s="2"/>
      <c r="NP20" s="2"/>
      <c r="NQ20" s="2"/>
      <c r="NR20" s="2"/>
      <c r="NS20" s="2"/>
      <c r="NT20" s="2"/>
      <c r="NU20" s="2"/>
      <c r="NV20" s="2"/>
      <c r="NW20" s="2"/>
      <c r="NX20" s="2"/>
      <c r="NY20" s="2"/>
      <c r="NZ20" s="2"/>
      <c r="OA20" s="2"/>
      <c r="OB20" s="2"/>
      <c r="OC20" s="2"/>
      <c r="OD20" s="2"/>
      <c r="OE20" s="2"/>
      <c r="OF20" s="2"/>
      <c r="OG20" s="2"/>
      <c r="OH20" s="2"/>
      <c r="OI20" s="2"/>
      <c r="OJ20" s="2"/>
      <c r="OK20" s="2"/>
      <c r="OL20" s="2"/>
      <c r="OM20" s="2"/>
      <c r="ON20" s="2"/>
      <c r="OO20" s="2"/>
      <c r="OP20" s="2"/>
      <c r="OQ20" s="2"/>
      <c r="OR20" s="2"/>
      <c r="OS20" s="2"/>
      <c r="OT20" s="2"/>
      <c r="OU20" s="2"/>
      <c r="OV20" s="2"/>
      <c r="OW20" s="2"/>
      <c r="OX20" s="2"/>
      <c r="OY20" s="2"/>
      <c r="OZ20" s="2"/>
      <c r="PA20" s="2"/>
      <c r="PB20" s="2"/>
      <c r="PC20" s="2"/>
      <c r="PD20" s="2"/>
      <c r="PE20" s="2"/>
      <c r="PF20" s="2"/>
      <c r="PG20" s="2"/>
      <c r="PH20" s="2"/>
      <c r="PI20" s="2"/>
      <c r="PJ20" s="2"/>
      <c r="PK20" s="2"/>
      <c r="PL20" s="2"/>
      <c r="PM20" s="2"/>
      <c r="PN20" s="2"/>
      <c r="PO20" s="2"/>
      <c r="PP20" s="2"/>
      <c r="PQ20" s="2"/>
      <c r="PR20" s="2"/>
      <c r="PS20" s="2"/>
      <c r="PT20" s="2"/>
      <c r="PU20" s="2"/>
      <c r="PV20" s="2"/>
      <c r="PW20" s="2"/>
      <c r="PX20" s="2"/>
      <c r="PY20" s="2"/>
      <c r="PZ20" s="2"/>
      <c r="QA20" s="2"/>
      <c r="QB20" s="2"/>
      <c r="QC20" s="2"/>
      <c r="QD20" s="2"/>
      <c r="QE20" s="2"/>
      <c r="QF20" s="2"/>
      <c r="QG20" s="2"/>
      <c r="QH20" s="2"/>
      <c r="QI20" s="2"/>
      <c r="QJ20" s="2"/>
      <c r="QK20" s="2"/>
      <c r="QL20" s="2"/>
      <c r="QM20" s="2"/>
      <c r="QN20" s="2"/>
      <c r="QO20" s="2"/>
      <c r="QP20" s="2"/>
      <c r="QQ20" s="2"/>
      <c r="QR20" s="2"/>
      <c r="QS20" s="2"/>
      <c r="QT20" s="2"/>
      <c r="QU20" s="2"/>
      <c r="QV20" s="2"/>
      <c r="QW20" s="2"/>
      <c r="QX20" s="2"/>
      <c r="QY20" s="2"/>
      <c r="QZ20" s="2"/>
      <c r="RA20" s="2"/>
      <c r="RB20" s="2"/>
      <c r="RC20" s="2"/>
      <c r="RD20" s="2"/>
      <c r="RE20" s="2"/>
      <c r="RF20" s="2"/>
      <c r="RG20" s="2"/>
      <c r="RH20" s="2"/>
      <c r="RI20" s="2"/>
      <c r="RJ20" s="2"/>
      <c r="RK20" s="2"/>
      <c r="RL20" s="2"/>
      <c r="RM20" s="2"/>
      <c r="RN20" s="2"/>
      <c r="RO20" s="2"/>
      <c r="RP20" s="2"/>
      <c r="RQ20" s="2"/>
      <c r="RR20" s="2"/>
      <c r="RS20" s="2"/>
      <c r="RT20" s="2"/>
      <c r="RU20" s="2"/>
      <c r="RV20" s="2"/>
      <c r="RW20" s="2"/>
      <c r="RX20" s="2"/>
      <c r="RY20" s="2"/>
      <c r="RZ20" s="2"/>
      <c r="SA20" s="2"/>
      <c r="SB20" s="2"/>
      <c r="SC20" s="2"/>
      <c r="SD20" s="2"/>
      <c r="SE20" s="2"/>
      <c r="SF20" s="2"/>
      <c r="SG20" s="2"/>
      <c r="SH20" s="2"/>
      <c r="SI20" s="2"/>
      <c r="SJ20" s="2"/>
      <c r="SK20" s="2"/>
      <c r="SL20" s="2"/>
      <c r="SM20" s="2"/>
      <c r="SN20" s="2"/>
      <c r="SO20" s="2"/>
      <c r="SP20" s="2"/>
      <c r="SQ20" s="2"/>
      <c r="SR20" s="2"/>
      <c r="SS20" s="2"/>
      <c r="ST20" s="2"/>
      <c r="SU20" s="2"/>
      <c r="SV20" s="2"/>
      <c r="SW20" s="2"/>
      <c r="SX20" s="2"/>
      <c r="SY20" s="2"/>
      <c r="SZ20" s="2"/>
      <c r="TA20" s="2"/>
      <c r="TB20" s="2"/>
      <c r="TC20" s="2"/>
      <c r="TD20" s="2"/>
      <c r="TE20" s="2"/>
      <c r="TF20" s="2"/>
      <c r="TG20" s="2"/>
      <c r="TH20" s="2"/>
      <c r="TI20" s="2"/>
      <c r="TJ20" s="2"/>
      <c r="TK20" s="2"/>
      <c r="TL20" s="2"/>
      <c r="TM20" s="2"/>
      <c r="TN20" s="2"/>
      <c r="TO20" s="2"/>
      <c r="TP20" s="2"/>
      <c r="TQ20" s="2"/>
      <c r="TR20" s="2"/>
      <c r="TS20" s="2"/>
      <c r="TT20" s="2"/>
      <c r="TU20" s="2"/>
      <c r="TV20" s="2"/>
      <c r="TW20" s="2"/>
      <c r="TX20" s="2"/>
      <c r="TY20" s="2"/>
      <c r="TZ20" s="2"/>
      <c r="UA20" s="2"/>
      <c r="UB20" s="2"/>
      <c r="UC20" s="2"/>
      <c r="UD20" s="2"/>
      <c r="UE20" s="2"/>
      <c r="UF20" s="2"/>
      <c r="UG20" s="2"/>
      <c r="UH20" s="2"/>
      <c r="UI20" s="2"/>
      <c r="UJ20" s="2"/>
      <c r="UK20" s="2"/>
      <c r="UL20" s="2"/>
      <c r="UM20" s="2"/>
      <c r="UN20" s="2"/>
      <c r="UO20" s="2"/>
      <c r="UP20" s="2"/>
      <c r="UQ20" s="2"/>
      <c r="UR20" s="2"/>
      <c r="US20" s="2"/>
      <c r="UT20" s="2"/>
      <c r="UU20" s="2"/>
      <c r="UV20" s="2"/>
      <c r="UW20" s="2"/>
      <c r="UX20" s="2"/>
      <c r="UY20" s="2"/>
      <c r="UZ20" s="2"/>
      <c r="VA20" s="2"/>
      <c r="VB20" s="2"/>
      <c r="VC20" s="2"/>
      <c r="VD20" s="2"/>
      <c r="VE20" s="2"/>
      <c r="VF20" s="2"/>
      <c r="VG20" s="2"/>
      <c r="VH20" s="2"/>
      <c r="VI20" s="2"/>
      <c r="VJ20" s="2"/>
      <c r="VK20" s="2"/>
      <c r="VL20" s="2"/>
      <c r="VM20" s="2"/>
      <c r="VN20" s="2"/>
      <c r="VO20" s="2"/>
      <c r="VP20" s="2"/>
      <c r="VQ20" s="2"/>
      <c r="VR20" s="2"/>
      <c r="VS20" s="2"/>
      <c r="VT20" s="2"/>
      <c r="VU20" s="2"/>
      <c r="VV20" s="2"/>
      <c r="VW20" s="2"/>
      <c r="VX20" s="2"/>
      <c r="VY20" s="2"/>
      <c r="VZ20" s="2"/>
      <c r="WA20" s="2"/>
      <c r="WB20" s="2"/>
      <c r="WC20" s="2"/>
      <c r="WD20" s="2"/>
      <c r="WE20" s="2"/>
      <c r="WF20" s="2"/>
      <c r="WG20" s="2"/>
      <c r="WH20" s="2"/>
      <c r="WI20" s="2"/>
      <c r="WJ20" s="2"/>
      <c r="WK20" s="2"/>
      <c r="WL20" s="2"/>
      <c r="WM20" s="2"/>
      <c r="WN20" s="2"/>
      <c r="WO20" s="2"/>
      <c r="WP20" s="2"/>
      <c r="WQ20" s="2"/>
      <c r="WR20" s="2"/>
      <c r="WS20" s="2"/>
      <c r="WT20" s="2"/>
      <c r="WU20" s="2"/>
      <c r="WV20" s="2"/>
      <c r="WW20" s="2"/>
      <c r="WX20" s="2"/>
      <c r="WY20" s="2"/>
      <c r="WZ20" s="2"/>
      <c r="XA20" s="2"/>
      <c r="XB20" s="2"/>
      <c r="XC20" s="2"/>
      <c r="XD20" s="2"/>
      <c r="XE20" s="2"/>
      <c r="XF20" s="2"/>
      <c r="XG20" s="2"/>
      <c r="XH20" s="2"/>
      <c r="XI20" s="2"/>
      <c r="XJ20" s="2"/>
      <c r="XK20" s="2"/>
      <c r="XL20" s="2"/>
      <c r="XM20" s="2"/>
      <c r="XN20" s="2"/>
      <c r="XO20" s="2"/>
      <c r="XP20" s="2"/>
      <c r="XQ20" s="2"/>
      <c r="XR20" s="2"/>
      <c r="XS20" s="2"/>
      <c r="XT20" s="2"/>
      <c r="XU20" s="2"/>
      <c r="XV20" s="2"/>
      <c r="XW20" s="2"/>
      <c r="XX20" s="2"/>
      <c r="XY20" s="2"/>
      <c r="XZ20" s="2"/>
      <c r="YA20" s="2"/>
      <c r="YB20" s="2"/>
      <c r="YC20" s="2"/>
      <c r="YD20" s="2"/>
      <c r="YE20" s="2"/>
      <c r="YF20" s="2"/>
      <c r="YG20" s="2"/>
      <c r="YH20" s="2"/>
      <c r="YI20" s="2"/>
      <c r="YJ20" s="2"/>
      <c r="YK20" s="2"/>
      <c r="YL20" s="2"/>
      <c r="YM20" s="2"/>
      <c r="YN20" s="2"/>
      <c r="YO20" s="2"/>
      <c r="YP20" s="2"/>
      <c r="YQ20" s="2"/>
      <c r="YR20" s="2"/>
      <c r="YS20" s="2"/>
      <c r="YT20" s="2"/>
      <c r="YU20" s="2"/>
      <c r="YV20" s="2"/>
      <c r="YW20" s="2"/>
      <c r="YX20" s="2"/>
      <c r="YY20" s="2"/>
      <c r="YZ20" s="2"/>
      <c r="ZA20" s="2"/>
      <c r="ZB20" s="2"/>
      <c r="ZC20" s="2"/>
      <c r="ZD20" s="2"/>
      <c r="ZE20" s="2"/>
      <c r="ZF20" s="2"/>
      <c r="ZG20" s="2"/>
      <c r="ZH20" s="2"/>
      <c r="ZI20" s="2"/>
      <c r="ZJ20" s="2"/>
      <c r="ZK20" s="2"/>
      <c r="ZL20" s="2"/>
      <c r="ZM20" s="2"/>
      <c r="ZN20" s="2"/>
      <c r="ZO20" s="2"/>
      <c r="ZP20" s="2"/>
      <c r="ZQ20" s="2"/>
      <c r="ZR20" s="2"/>
      <c r="ZS20" s="2"/>
      <c r="ZT20" s="2"/>
      <c r="ZU20" s="2"/>
      <c r="ZV20" s="2"/>
      <c r="ZW20" s="2"/>
      <c r="ZX20" s="2"/>
      <c r="ZY20" s="2"/>
      <c r="ZZ20" s="2"/>
      <c r="AAA20" s="2"/>
      <c r="AAB20" s="2"/>
      <c r="AAC20" s="2"/>
      <c r="AAD20" s="2"/>
      <c r="AAE20" s="2"/>
      <c r="AAF20" s="2"/>
      <c r="AAG20" s="2"/>
      <c r="AAH20" s="2"/>
      <c r="AAI20" s="2"/>
      <c r="AAJ20" s="2"/>
      <c r="AAK20" s="2"/>
      <c r="AAL20" s="2"/>
      <c r="AAM20" s="2"/>
      <c r="AAN20" s="2"/>
      <c r="AAO20" s="2"/>
      <c r="AAP20" s="2"/>
      <c r="AAQ20" s="2"/>
      <c r="AAR20" s="2"/>
      <c r="AAS20" s="2"/>
      <c r="AAT20" s="2"/>
      <c r="AAU20" s="2"/>
      <c r="AAV20" s="2"/>
      <c r="AAW20" s="2"/>
      <c r="AAX20" s="2"/>
      <c r="AAY20" s="2"/>
      <c r="AAZ20" s="2"/>
      <c r="ABA20" s="2"/>
      <c r="ABB20" s="2"/>
      <c r="ABC20" s="2"/>
      <c r="ABD20" s="2"/>
      <c r="ABE20" s="2"/>
      <c r="ABF20" s="2"/>
      <c r="ABG20" s="2"/>
      <c r="ABH20" s="2"/>
      <c r="ABI20" s="2"/>
      <c r="ABJ20" s="2"/>
      <c r="ABK20" s="2"/>
      <c r="ABL20" s="2"/>
      <c r="ABM20" s="2"/>
      <c r="ABN20" s="2"/>
      <c r="ABO20" s="2"/>
      <c r="ABP20" s="2"/>
      <c r="ABQ20" s="2"/>
      <c r="ABR20" s="2"/>
      <c r="ABS20" s="2"/>
      <c r="ABT20" s="2"/>
      <c r="ABU20" s="2"/>
      <c r="ABV20" s="2"/>
      <c r="ABW20" s="2"/>
      <c r="ABX20" s="2"/>
      <c r="ABY20" s="2"/>
      <c r="ABZ20" s="2"/>
      <c r="ACA20" s="2"/>
      <c r="ACB20" s="2"/>
      <c r="ACC20" s="2"/>
      <c r="ACD20" s="2"/>
      <c r="ACE20" s="2"/>
      <c r="ACF20" s="2"/>
      <c r="ACG20" s="2"/>
      <c r="ACH20" s="2"/>
      <c r="ACI20" s="2"/>
      <c r="ACJ20" s="2"/>
      <c r="ACK20" s="2"/>
      <c r="ACL20" s="2"/>
      <c r="ACM20" s="2"/>
      <c r="ACN20" s="2"/>
      <c r="ACO20" s="2"/>
      <c r="ACP20" s="2"/>
      <c r="ACQ20" s="2"/>
      <c r="ACR20" s="2"/>
      <c r="ACS20" s="2"/>
      <c r="ACT20" s="2"/>
      <c r="ACU20" s="2"/>
      <c r="ACV20" s="2"/>
      <c r="ACW20" s="2"/>
      <c r="ACX20" s="2"/>
      <c r="ACY20" s="2"/>
      <c r="ACZ20" s="2"/>
      <c r="ADA20" s="2"/>
      <c r="ADB20" s="2"/>
      <c r="ADC20" s="2"/>
      <c r="ADD20" s="2"/>
      <c r="ADE20" s="2"/>
      <c r="ADF20" s="2"/>
      <c r="ADG20" s="2"/>
      <c r="ADH20" s="2"/>
      <c r="ADI20" s="2"/>
      <c r="ADJ20" s="2"/>
      <c r="ADK20" s="2"/>
      <c r="ADL20" s="2"/>
      <c r="ADM20" s="2"/>
      <c r="ADN20" s="2"/>
      <c r="ADO20" s="2"/>
      <c r="ADP20" s="2"/>
      <c r="ADQ20" s="2"/>
      <c r="ADR20" s="2"/>
      <c r="ADS20" s="2"/>
      <c r="ADT20" s="2"/>
      <c r="ADU20" s="2"/>
      <c r="ADV20" s="2"/>
      <c r="ADW20" s="2"/>
      <c r="ADX20" s="2"/>
      <c r="ADY20" s="2"/>
      <c r="ADZ20" s="2"/>
      <c r="AEA20" s="2"/>
      <c r="AEB20" s="2"/>
      <c r="AEC20" s="2"/>
      <c r="AED20" s="2"/>
      <c r="AEE20" s="2"/>
      <c r="AEF20" s="2"/>
      <c r="AEG20" s="2"/>
      <c r="AEH20" s="2"/>
      <c r="AEI20" s="2"/>
      <c r="AEJ20" s="2"/>
      <c r="AEK20" s="2"/>
      <c r="AEL20" s="2"/>
      <c r="AEM20" s="2"/>
      <c r="AEN20" s="2"/>
      <c r="AEO20" s="2"/>
      <c r="AEP20" s="2"/>
      <c r="AEQ20" s="2"/>
      <c r="AER20" s="2"/>
      <c r="AES20" s="2"/>
      <c r="AET20" s="2"/>
      <c r="AEU20" s="2"/>
      <c r="AEV20" s="2"/>
      <c r="AEW20" s="2"/>
      <c r="AEX20" s="2"/>
      <c r="AEY20" s="2"/>
      <c r="AEZ20" s="2"/>
      <c r="AFA20" s="2"/>
      <c r="AFB20" s="2"/>
      <c r="AFC20" s="2"/>
      <c r="AFD20" s="2"/>
      <c r="AFE20" s="2"/>
      <c r="AFF20" s="2"/>
      <c r="AFG20" s="2"/>
      <c r="AFH20" s="2"/>
      <c r="AFI20" s="2"/>
      <c r="AFJ20" s="2"/>
      <c r="AFK20" s="2"/>
      <c r="AFL20" s="2"/>
      <c r="AFM20" s="2"/>
      <c r="AFN20" s="2"/>
      <c r="AFO20" s="2"/>
      <c r="AFP20" s="2"/>
      <c r="AFQ20" s="2"/>
      <c r="AFR20" s="2"/>
      <c r="AFS20" s="2"/>
      <c r="AFT20" s="2"/>
      <c r="AFU20" s="2"/>
      <c r="AFV20" s="2"/>
      <c r="AFW20" s="2"/>
      <c r="AFX20" s="2"/>
      <c r="AFY20" s="2"/>
      <c r="AFZ20" s="2"/>
      <c r="AGA20" s="2"/>
      <c r="AGB20" s="2"/>
      <c r="AGC20" s="2"/>
      <c r="AGD20" s="2"/>
      <c r="AGE20" s="2"/>
      <c r="AGF20" s="2"/>
      <c r="AGG20" s="2"/>
      <c r="AGH20" s="2"/>
      <c r="AGI20" s="2"/>
      <c r="AGJ20" s="2"/>
      <c r="AGK20" s="2"/>
      <c r="AGL20" s="2"/>
      <c r="AGM20" s="2"/>
      <c r="AGN20" s="2"/>
      <c r="AGO20" s="2"/>
      <c r="AGP20" s="2"/>
      <c r="AGQ20" s="2"/>
      <c r="AGR20" s="2"/>
      <c r="AGS20" s="2"/>
      <c r="AGT20" s="2"/>
      <c r="AGU20" s="2"/>
      <c r="AGV20" s="2"/>
      <c r="AGW20" s="2"/>
      <c r="AGX20" s="2"/>
      <c r="AGY20" s="2"/>
      <c r="AGZ20" s="2"/>
      <c r="AHA20" s="2"/>
      <c r="AHB20" s="2"/>
      <c r="AHC20" s="2"/>
      <c r="AHD20" s="2"/>
      <c r="AHE20" s="2"/>
      <c r="AHF20" s="2"/>
      <c r="AHG20" s="2"/>
      <c r="AHH20" s="2"/>
      <c r="AHI20" s="2"/>
      <c r="AHJ20" s="2"/>
      <c r="AHK20" s="2"/>
      <c r="AHL20" s="2"/>
      <c r="AHM20" s="2"/>
      <c r="AHN20" s="2"/>
      <c r="AHO20" s="2"/>
      <c r="AHP20" s="2"/>
      <c r="AHQ20" s="2"/>
      <c r="AHR20" s="2"/>
      <c r="AHS20" s="2"/>
      <c r="AHT20" s="2"/>
      <c r="AHU20" s="2"/>
      <c r="AHV20" s="2"/>
      <c r="AHW20" s="2"/>
      <c r="AHX20" s="2"/>
      <c r="AHY20" s="2"/>
      <c r="AHZ20" s="2"/>
      <c r="AIA20" s="2"/>
      <c r="AIB20" s="2"/>
      <c r="AIC20" s="2"/>
      <c r="AID20" s="2"/>
      <c r="AIE20" s="2"/>
      <c r="AIF20" s="2"/>
      <c r="AIG20" s="2"/>
      <c r="AIH20" s="2"/>
      <c r="AII20" s="2"/>
      <c r="AIJ20" s="2"/>
      <c r="AIK20" s="2"/>
      <c r="AIL20" s="2"/>
      <c r="AIM20" s="2"/>
      <c r="AIN20" s="2"/>
      <c r="AIO20" s="2"/>
      <c r="AIP20" s="2"/>
      <c r="AIQ20" s="2"/>
      <c r="AIR20" s="2"/>
      <c r="AIS20" s="2"/>
      <c r="AIT20" s="2"/>
      <c r="AIU20" s="2"/>
      <c r="AIV20" s="2"/>
      <c r="AIW20" s="2"/>
      <c r="AIX20" s="2"/>
      <c r="AIY20" s="2"/>
      <c r="AIZ20" s="2"/>
      <c r="AJA20" s="2"/>
      <c r="AJB20" s="2"/>
      <c r="AJC20" s="2"/>
      <c r="AJD20" s="2"/>
      <c r="AJE20" s="2"/>
      <c r="AJF20" s="2"/>
      <c r="AJG20" s="2"/>
      <c r="AJH20" s="2"/>
      <c r="AJI20" s="2"/>
      <c r="AJJ20" s="2"/>
      <c r="AJK20" s="2"/>
      <c r="AJL20" s="2"/>
      <c r="AJM20" s="2"/>
      <c r="AJN20" s="2"/>
      <c r="AJO20" s="2"/>
      <c r="AJP20" s="2"/>
      <c r="AJQ20" s="2"/>
      <c r="AJR20" s="2"/>
      <c r="AJS20" s="2"/>
      <c r="AJT20" s="2"/>
      <c r="AJU20" s="2"/>
      <c r="AJV20" s="2"/>
      <c r="AJW20" s="2"/>
      <c r="AJX20" s="2"/>
      <c r="AJY20" s="2"/>
      <c r="AJZ20" s="2"/>
    </row>
    <row r="21" spans="1:962">
      <c r="A21" s="16">
        <v>20</v>
      </c>
      <c r="B21" s="8">
        <v>2</v>
      </c>
      <c r="C21" s="9">
        <v>4.91</v>
      </c>
      <c r="D21" s="9">
        <v>2.4300000000000002</v>
      </c>
      <c r="E21" s="9">
        <v>1.76</v>
      </c>
      <c r="F21" s="9">
        <v>0.11</v>
      </c>
      <c r="G21" s="9">
        <v>69</v>
      </c>
      <c r="H21" s="17">
        <v>2</v>
      </c>
      <c r="I21" s="9">
        <f t="shared" si="0"/>
        <v>1.3806818181818183</v>
      </c>
      <c r="J21" s="9">
        <f t="shared" si="1"/>
        <v>6.25E-2</v>
      </c>
      <c r="K21" s="9">
        <f t="shared" si="2"/>
        <v>39.204545454545453</v>
      </c>
      <c r="L21" s="9">
        <f t="shared" si="3"/>
        <v>95.267045454545467</v>
      </c>
      <c r="M21" s="8">
        <v>11</v>
      </c>
      <c r="N21" s="9" t="s">
        <v>28</v>
      </c>
      <c r="O21" s="9">
        <v>4</v>
      </c>
      <c r="P21" s="9">
        <v>4.91</v>
      </c>
      <c r="Q21" s="9">
        <v>2.4300000000000002</v>
      </c>
      <c r="R21" s="9">
        <v>1.76</v>
      </c>
      <c r="S21" s="9">
        <v>0.11</v>
      </c>
      <c r="T21" s="9">
        <v>0.6</v>
      </c>
      <c r="U21" s="9">
        <v>0</v>
      </c>
      <c r="V21" s="9">
        <v>0</v>
      </c>
      <c r="W21" s="9">
        <v>11.07</v>
      </c>
      <c r="X21" s="20">
        <v>137</v>
      </c>
      <c r="Y21" s="9">
        <v>0.46</v>
      </c>
      <c r="Z21" s="9">
        <v>69</v>
      </c>
      <c r="AA21" s="9">
        <v>0.3</v>
      </c>
      <c r="AB21" s="24">
        <v>3.6999999999999998E-2</v>
      </c>
      <c r="AC21" s="9">
        <v>157.80000000000001</v>
      </c>
      <c r="AD21" s="9">
        <v>4.17</v>
      </c>
      <c r="AE21" s="9">
        <v>126.8</v>
      </c>
      <c r="AF21" s="9">
        <v>2.67</v>
      </c>
      <c r="AG21" s="9">
        <v>1.29</v>
      </c>
      <c r="AH21" s="9">
        <v>11.03</v>
      </c>
      <c r="AI21" s="9">
        <v>168.77</v>
      </c>
      <c r="AJ21" s="9">
        <v>48.8</v>
      </c>
      <c r="AK21" s="9">
        <v>34.799999999999997</v>
      </c>
      <c r="AL21" s="9">
        <v>80.069999999999993</v>
      </c>
      <c r="AM21" s="9">
        <v>30.86</v>
      </c>
      <c r="AN21" s="24">
        <v>1.0580000000000001</v>
      </c>
      <c r="AO21" s="9">
        <v>0.13</v>
      </c>
    </row>
    <row r="22" spans="1:962">
      <c r="A22" s="16">
        <v>21</v>
      </c>
      <c r="B22" s="8">
        <v>2</v>
      </c>
      <c r="C22" s="9">
        <v>3.64</v>
      </c>
      <c r="D22" s="9">
        <v>2.27</v>
      </c>
      <c r="E22" s="9">
        <v>1.0900000000000001</v>
      </c>
      <c r="F22" s="9">
        <v>0.1</v>
      </c>
      <c r="G22" s="9">
        <v>322</v>
      </c>
      <c r="H22" s="17">
        <v>2</v>
      </c>
      <c r="I22" s="9">
        <f t="shared" si="0"/>
        <v>2.0825688073394493</v>
      </c>
      <c r="J22" s="9">
        <f t="shared" si="1"/>
        <v>9.1743119266055051E-2</v>
      </c>
      <c r="K22" s="9">
        <f t="shared" si="2"/>
        <v>295.41284403669721</v>
      </c>
      <c r="L22" s="9">
        <f t="shared" si="3"/>
        <v>670.58715596330273</v>
      </c>
      <c r="M22" s="8">
        <v>20</v>
      </c>
      <c r="N22" s="9" t="s">
        <v>28</v>
      </c>
      <c r="O22" s="9">
        <v>4</v>
      </c>
      <c r="P22" s="9">
        <v>3.64</v>
      </c>
      <c r="Q22" s="9">
        <v>2.27</v>
      </c>
      <c r="R22" s="9">
        <v>1.0900000000000001</v>
      </c>
      <c r="S22" s="9">
        <v>0.1</v>
      </c>
      <c r="T22" s="9">
        <v>0.18</v>
      </c>
      <c r="U22" s="9">
        <v>0</v>
      </c>
      <c r="V22" s="9">
        <v>0.01</v>
      </c>
      <c r="W22" s="9">
        <v>8.41</v>
      </c>
      <c r="X22" s="20">
        <v>118</v>
      </c>
      <c r="Y22" s="9">
        <v>0.37</v>
      </c>
      <c r="Z22" s="9">
        <v>322</v>
      </c>
      <c r="AA22" s="9">
        <v>0.1</v>
      </c>
      <c r="AB22" s="24">
        <v>1.0999999999999999E-2</v>
      </c>
      <c r="AC22" s="9">
        <v>171.2</v>
      </c>
      <c r="AD22" s="9">
        <v>5.35</v>
      </c>
      <c r="AE22" s="9">
        <v>133.9</v>
      </c>
      <c r="AF22" s="9">
        <v>2.92</v>
      </c>
      <c r="AG22" s="9">
        <v>1.37</v>
      </c>
      <c r="AH22" s="9">
        <v>11.29</v>
      </c>
      <c r="AI22" s="9">
        <v>186.81</v>
      </c>
      <c r="AJ22" s="9">
        <v>22.5</v>
      </c>
      <c r="AK22" s="9">
        <v>26.7</v>
      </c>
      <c r="AL22" s="9">
        <v>79.42</v>
      </c>
      <c r="AM22" s="9">
        <v>30.53</v>
      </c>
      <c r="AN22" s="24">
        <v>1.02</v>
      </c>
      <c r="AO22" s="9">
        <v>0.32</v>
      </c>
    </row>
    <row r="23" spans="1:962">
      <c r="A23" s="16">
        <v>22</v>
      </c>
      <c r="B23" s="8">
        <v>2</v>
      </c>
      <c r="C23" s="9">
        <v>6.43</v>
      </c>
      <c r="D23" s="9">
        <v>3.71</v>
      </c>
      <c r="E23" s="9">
        <v>1.64</v>
      </c>
      <c r="F23" s="9">
        <v>0.16</v>
      </c>
      <c r="G23" s="9">
        <v>505</v>
      </c>
      <c r="H23" s="17">
        <v>2</v>
      </c>
      <c r="I23" s="9">
        <f t="shared" si="0"/>
        <v>2.2621951219512195</v>
      </c>
      <c r="J23" s="9">
        <f t="shared" si="1"/>
        <v>9.7560975609756101E-2</v>
      </c>
      <c r="K23" s="9">
        <f t="shared" si="2"/>
        <v>307.92682926829269</v>
      </c>
      <c r="L23" s="9">
        <f t="shared" si="3"/>
        <v>1142.4085365853659</v>
      </c>
      <c r="M23" s="8">
        <v>12</v>
      </c>
      <c r="N23" s="9" t="s">
        <v>28</v>
      </c>
      <c r="O23" s="9">
        <v>4</v>
      </c>
      <c r="P23" s="9">
        <v>6.43</v>
      </c>
      <c r="Q23" s="9">
        <v>3.71</v>
      </c>
      <c r="R23" s="9">
        <v>1.64</v>
      </c>
      <c r="S23" s="9">
        <v>0.16</v>
      </c>
      <c r="T23" s="9">
        <v>0.87</v>
      </c>
      <c r="U23" s="9">
        <v>0.01</v>
      </c>
      <c r="V23" s="9">
        <v>0.04</v>
      </c>
      <c r="W23" s="9">
        <v>5.9</v>
      </c>
      <c r="X23" s="20">
        <v>89</v>
      </c>
      <c r="Y23" s="9">
        <v>0.3</v>
      </c>
      <c r="Z23" s="9">
        <v>505</v>
      </c>
      <c r="AA23" s="9">
        <v>0</v>
      </c>
      <c r="AB23" s="24">
        <v>3.0000000000000001E-3</v>
      </c>
      <c r="AC23" s="9">
        <v>156.4</v>
      </c>
      <c r="AD23" s="9">
        <v>5.08</v>
      </c>
      <c r="AE23" s="9">
        <v>127.3</v>
      </c>
      <c r="AF23" s="9">
        <v>2.35</v>
      </c>
      <c r="AG23" s="9">
        <v>1.38</v>
      </c>
      <c r="AH23" s="9">
        <v>9.2200000000000006</v>
      </c>
      <c r="AI23" s="9">
        <v>153.1</v>
      </c>
      <c r="AJ23" s="9">
        <v>31.2</v>
      </c>
      <c r="AK23" s="9">
        <v>31.7</v>
      </c>
      <c r="AL23" s="9">
        <v>69.099999999999994</v>
      </c>
      <c r="AM23" s="9">
        <v>30.44</v>
      </c>
      <c r="AN23" s="24">
        <v>1.0640000000000001</v>
      </c>
      <c r="AO23" s="9">
        <v>0.1575</v>
      </c>
    </row>
    <row r="24" spans="1:962">
      <c r="A24" s="16">
        <v>23</v>
      </c>
      <c r="B24" s="8">
        <v>2</v>
      </c>
      <c r="C24" s="9">
        <v>14.8</v>
      </c>
      <c r="D24" s="9">
        <v>3.86</v>
      </c>
      <c r="E24" s="9">
        <v>9.92</v>
      </c>
      <c r="F24" s="9">
        <v>0.26</v>
      </c>
      <c r="G24" s="9">
        <v>288</v>
      </c>
      <c r="H24" s="17">
        <v>2</v>
      </c>
      <c r="I24" s="9">
        <f t="shared" si="0"/>
        <v>0.38911290322580644</v>
      </c>
      <c r="J24" s="9">
        <f t="shared" si="1"/>
        <v>2.620967741935484E-2</v>
      </c>
      <c r="K24" s="9">
        <f t="shared" si="2"/>
        <v>29.032258064516128</v>
      </c>
      <c r="L24" s="9">
        <f t="shared" si="3"/>
        <v>112.06451612903227</v>
      </c>
      <c r="M24" s="8">
        <v>6</v>
      </c>
      <c r="N24" s="9" t="s">
        <v>26</v>
      </c>
      <c r="O24" s="9">
        <v>6.7</v>
      </c>
      <c r="P24" s="9">
        <v>14.8</v>
      </c>
      <c r="Q24" s="9">
        <v>3.86</v>
      </c>
      <c r="R24" s="9">
        <v>9.92</v>
      </c>
      <c r="S24" s="9">
        <v>0.26</v>
      </c>
      <c r="T24" s="9">
        <v>0.74</v>
      </c>
      <c r="U24" s="9">
        <v>0.01</v>
      </c>
      <c r="V24" s="9">
        <v>0.02</v>
      </c>
      <c r="W24" s="9">
        <v>9.44</v>
      </c>
      <c r="X24" s="20">
        <v>136</v>
      </c>
      <c r="Y24" s="9">
        <v>0.45</v>
      </c>
      <c r="Z24" s="9">
        <v>288</v>
      </c>
      <c r="AA24" s="9">
        <v>5.7000000000000002E-2</v>
      </c>
      <c r="AB24" s="24">
        <v>5.7000000000000002E-2</v>
      </c>
      <c r="AC24" s="9">
        <v>152.5</v>
      </c>
      <c r="AD24" s="9">
        <v>4.5199999999999996</v>
      </c>
      <c r="AE24" s="9">
        <v>122.5</v>
      </c>
      <c r="AF24" s="9">
        <v>2.46</v>
      </c>
      <c r="AG24" s="9">
        <v>1.06</v>
      </c>
      <c r="AH24" s="9">
        <v>8.6999999999999993</v>
      </c>
      <c r="AI24" s="9">
        <v>174.5</v>
      </c>
      <c r="AJ24" s="9">
        <v>24.5</v>
      </c>
      <c r="AK24" s="9">
        <v>64.2</v>
      </c>
      <c r="AL24" s="9">
        <v>75.2</v>
      </c>
      <c r="AM24" s="9">
        <v>37.799999999999997</v>
      </c>
      <c r="AN24" s="24"/>
      <c r="AO24" s="9"/>
    </row>
    <row r="25" spans="1:962">
      <c r="A25" s="16">
        <v>24</v>
      </c>
      <c r="B25" s="16">
        <v>2</v>
      </c>
      <c r="C25" s="21">
        <v>4.75</v>
      </c>
      <c r="D25" s="9">
        <v>2.69</v>
      </c>
      <c r="E25" s="9">
        <v>1.56</v>
      </c>
      <c r="F25" s="9">
        <v>0.13</v>
      </c>
      <c r="G25" s="21">
        <v>217</v>
      </c>
      <c r="H25" s="17">
        <v>2</v>
      </c>
      <c r="I25" s="9">
        <f t="shared" si="0"/>
        <v>1.7243589743589742</v>
      </c>
      <c r="J25" s="9">
        <f t="shared" si="1"/>
        <v>8.3333333333333329E-2</v>
      </c>
      <c r="K25" s="9">
        <f t="shared" si="2"/>
        <v>139.10256410256409</v>
      </c>
      <c r="L25" s="9">
        <f t="shared" si="3"/>
        <v>374.18589743589746</v>
      </c>
      <c r="M25" s="21">
        <v>10</v>
      </c>
      <c r="N25" s="21" t="s">
        <v>27</v>
      </c>
      <c r="O25" s="21">
        <v>4.0999999999999996</v>
      </c>
      <c r="P25" s="21">
        <v>4.75</v>
      </c>
      <c r="Q25" s="9">
        <v>2.69</v>
      </c>
      <c r="R25" s="9">
        <v>1.56</v>
      </c>
      <c r="S25" s="9">
        <v>0.13</v>
      </c>
      <c r="T25" s="9">
        <v>0.36</v>
      </c>
      <c r="U25" s="9">
        <v>0.01</v>
      </c>
      <c r="V25" s="9">
        <v>0</v>
      </c>
      <c r="W25" s="22">
        <v>10.37</v>
      </c>
      <c r="X25" s="23">
        <v>137</v>
      </c>
      <c r="Y25" s="21">
        <v>0.44</v>
      </c>
      <c r="Z25" s="21">
        <v>217</v>
      </c>
      <c r="AA25" s="21"/>
      <c r="AC25" s="21">
        <v>155.9</v>
      </c>
      <c r="AD25" s="21">
        <v>5.17</v>
      </c>
      <c r="AE25" s="21">
        <v>121.3</v>
      </c>
      <c r="AF25" s="21">
        <v>2.5</v>
      </c>
      <c r="AG25" s="21">
        <v>1.27</v>
      </c>
      <c r="AH25" s="21">
        <v>12.77</v>
      </c>
      <c r="AI25" s="21">
        <v>178.02</v>
      </c>
      <c r="AJ25" s="21">
        <v>39.200000000000003</v>
      </c>
      <c r="AK25" s="21">
        <v>41</v>
      </c>
      <c r="AL25" s="21">
        <v>78.819999999999993</v>
      </c>
      <c r="AM25" s="21">
        <v>31.1</v>
      </c>
      <c r="AN25" s="16">
        <v>1.05</v>
      </c>
      <c r="AO25" s="16">
        <v>0.33700000000000002</v>
      </c>
    </row>
    <row r="26" spans="1:962">
      <c r="A26" s="16">
        <v>25</v>
      </c>
      <c r="B26" s="16">
        <v>2</v>
      </c>
      <c r="C26" s="16">
        <v>10.43</v>
      </c>
      <c r="D26" s="9">
        <v>7.63</v>
      </c>
      <c r="E26" s="9">
        <v>1.86</v>
      </c>
      <c r="F26" s="9">
        <v>0.23</v>
      </c>
      <c r="G26" s="16">
        <v>392</v>
      </c>
      <c r="H26" s="17">
        <v>2</v>
      </c>
      <c r="I26" s="9">
        <f t="shared" si="0"/>
        <v>4.1021505376344081</v>
      </c>
      <c r="J26" s="9">
        <f t="shared" si="1"/>
        <v>0.12365591397849462</v>
      </c>
      <c r="K26" s="9">
        <f t="shared" si="2"/>
        <v>210.75268817204301</v>
      </c>
      <c r="L26" s="9">
        <f t="shared" si="3"/>
        <v>1608.0430107526881</v>
      </c>
      <c r="M26" s="16">
        <v>21</v>
      </c>
      <c r="N26" s="16" t="s">
        <v>32</v>
      </c>
      <c r="O26" s="16">
        <v>4</v>
      </c>
      <c r="P26" s="16">
        <v>10.43</v>
      </c>
      <c r="Q26" s="9">
        <v>7.63</v>
      </c>
      <c r="R26" s="9">
        <v>1.86</v>
      </c>
      <c r="S26" s="9">
        <v>0.23</v>
      </c>
      <c r="T26" s="9">
        <v>0.66</v>
      </c>
      <c r="U26" s="9">
        <v>0</v>
      </c>
      <c r="V26" s="9">
        <v>0.05</v>
      </c>
      <c r="W26" s="18">
        <v>6.79</v>
      </c>
      <c r="X26" s="19">
        <v>98</v>
      </c>
      <c r="Y26" s="18">
        <v>0.3</v>
      </c>
      <c r="Z26" s="16">
        <v>392</v>
      </c>
      <c r="AA26" s="16">
        <v>0.3</v>
      </c>
      <c r="AC26" s="16"/>
      <c r="AD26" s="16"/>
      <c r="AE26" s="16"/>
      <c r="AF26" s="16">
        <v>2.76</v>
      </c>
      <c r="AG26" s="16">
        <v>1.23</v>
      </c>
      <c r="AH26" s="16">
        <v>12.4</v>
      </c>
      <c r="AI26" s="16">
        <v>160.77000000000001</v>
      </c>
      <c r="AJ26" s="16">
        <v>26.1</v>
      </c>
      <c r="AK26" s="16">
        <v>122.1</v>
      </c>
      <c r="AL26" s="16">
        <v>69.099999999999994</v>
      </c>
      <c r="AM26" s="16">
        <v>28.7</v>
      </c>
      <c r="AN26" s="16"/>
      <c r="AO26" s="16"/>
    </row>
    <row r="27" spans="1:962">
      <c r="A27" s="16">
        <v>26</v>
      </c>
      <c r="B27" s="16">
        <v>2</v>
      </c>
      <c r="C27" s="16">
        <v>10.75</v>
      </c>
      <c r="D27" s="9">
        <v>6.8</v>
      </c>
      <c r="E27" s="9">
        <v>3.42</v>
      </c>
      <c r="F27" s="9">
        <v>0.28000000000000003</v>
      </c>
      <c r="G27" s="16">
        <v>336</v>
      </c>
      <c r="H27" s="17">
        <v>2</v>
      </c>
      <c r="I27" s="9">
        <f t="shared" si="0"/>
        <v>1.9883040935672514</v>
      </c>
      <c r="J27" s="9">
        <f t="shared" si="1"/>
        <v>8.1871345029239775E-2</v>
      </c>
      <c r="K27" s="9">
        <f t="shared" si="2"/>
        <v>98.245614035087726</v>
      </c>
      <c r="L27" s="9">
        <f t="shared" si="3"/>
        <v>668.07017543859638</v>
      </c>
      <c r="M27" s="16">
        <v>3</v>
      </c>
      <c r="N27" s="16" t="s">
        <v>30</v>
      </c>
      <c r="O27" s="16">
        <v>6.8</v>
      </c>
      <c r="P27" s="16">
        <v>10.75</v>
      </c>
      <c r="Q27" s="9">
        <v>6.8</v>
      </c>
      <c r="R27" s="9">
        <v>3.42</v>
      </c>
      <c r="S27" s="9">
        <v>0.28000000000000003</v>
      </c>
      <c r="T27" s="9">
        <v>0.24</v>
      </c>
      <c r="U27" s="9">
        <v>0</v>
      </c>
      <c r="V27" s="9">
        <v>0.01</v>
      </c>
      <c r="W27" s="18">
        <v>9.24</v>
      </c>
      <c r="X27" s="19">
        <v>108</v>
      </c>
      <c r="Y27" s="16">
        <v>0.33</v>
      </c>
      <c r="Z27" s="16">
        <v>336</v>
      </c>
      <c r="AA27" s="16">
        <v>0.6</v>
      </c>
      <c r="AC27" s="16">
        <v>154.6</v>
      </c>
      <c r="AD27" s="16">
        <v>4.4800000000000004</v>
      </c>
      <c r="AE27" s="16">
        <v>120.3</v>
      </c>
      <c r="AF27" s="16">
        <v>2.54</v>
      </c>
      <c r="AG27" s="16">
        <v>2.0499999999999998</v>
      </c>
      <c r="AH27" s="16">
        <v>7.14</v>
      </c>
      <c r="AI27" s="16">
        <v>155.13</v>
      </c>
      <c r="AJ27" s="16">
        <v>25</v>
      </c>
      <c r="AK27" s="16">
        <v>64.5</v>
      </c>
      <c r="AL27" s="16">
        <v>100</v>
      </c>
      <c r="AM27" s="16">
        <v>32.9</v>
      </c>
      <c r="AN27" s="16"/>
      <c r="AO27" s="16"/>
    </row>
    <row r="28" spans="1:962">
      <c r="A28" s="16">
        <v>27</v>
      </c>
      <c r="B28" s="8">
        <v>2</v>
      </c>
      <c r="C28" s="9">
        <v>4.71</v>
      </c>
      <c r="D28" s="9">
        <v>2.2599999999999998</v>
      </c>
      <c r="E28" s="9">
        <v>1.8</v>
      </c>
      <c r="F28" s="9">
        <v>0.08</v>
      </c>
      <c r="G28" s="9">
        <v>161</v>
      </c>
      <c r="H28" s="17">
        <v>2</v>
      </c>
      <c r="I28" s="9">
        <f t="shared" si="0"/>
        <v>1.2555555555555553</v>
      </c>
      <c r="J28" s="9">
        <f t="shared" si="1"/>
        <v>4.4444444444444446E-2</v>
      </c>
      <c r="K28" s="9">
        <f t="shared" si="2"/>
        <v>89.444444444444443</v>
      </c>
      <c r="L28" s="9">
        <f t="shared" si="3"/>
        <v>202.14444444444442</v>
      </c>
      <c r="M28" s="8">
        <v>5</v>
      </c>
      <c r="N28" s="9" t="s">
        <v>28</v>
      </c>
      <c r="O28" s="9">
        <v>4.3</v>
      </c>
      <c r="P28" s="9">
        <v>4.71</v>
      </c>
      <c r="Q28" s="9">
        <v>2.2599999999999998</v>
      </c>
      <c r="R28" s="9">
        <v>1.8</v>
      </c>
      <c r="S28" s="9">
        <v>0.08</v>
      </c>
      <c r="T28" s="9">
        <v>0.56999999999999995</v>
      </c>
      <c r="U28" s="9">
        <v>0</v>
      </c>
      <c r="V28" s="9">
        <v>0</v>
      </c>
      <c r="W28" s="9">
        <v>9.7200000000000006</v>
      </c>
      <c r="X28" s="20">
        <v>132</v>
      </c>
      <c r="Y28" s="9">
        <v>0.43</v>
      </c>
      <c r="Z28" s="9">
        <v>161</v>
      </c>
      <c r="AA28" s="9">
        <v>0.6</v>
      </c>
      <c r="AB28" s="24">
        <v>5.6000000000000001E-2</v>
      </c>
      <c r="AC28" s="9">
        <v>153.30000000000001</v>
      </c>
      <c r="AD28" s="9">
        <v>4.0199999999999996</v>
      </c>
      <c r="AE28" s="9">
        <v>121.1</v>
      </c>
      <c r="AF28" s="9">
        <v>2.61</v>
      </c>
      <c r="AG28" s="9">
        <v>0.96</v>
      </c>
      <c r="AH28" s="9">
        <v>9.33</v>
      </c>
      <c r="AI28" s="9">
        <v>169.72</v>
      </c>
      <c r="AJ28" s="9">
        <v>24.5</v>
      </c>
      <c r="AK28" s="9">
        <v>39.6</v>
      </c>
      <c r="AL28" s="9">
        <v>77.19</v>
      </c>
      <c r="AM28" s="9">
        <v>34.979999999999997</v>
      </c>
      <c r="AN28" s="24">
        <v>1.08</v>
      </c>
      <c r="AO28" s="9">
        <v>9.1999999999999998E-2</v>
      </c>
    </row>
    <row r="29" spans="1:962">
      <c r="A29" s="16">
        <v>28</v>
      </c>
      <c r="B29" s="8">
        <v>2</v>
      </c>
      <c r="C29" s="9">
        <v>7.6</v>
      </c>
      <c r="D29" s="9">
        <v>5.34</v>
      </c>
      <c r="E29" s="9">
        <v>1.64</v>
      </c>
      <c r="F29" s="9">
        <v>0.26</v>
      </c>
      <c r="G29" s="9">
        <v>434</v>
      </c>
      <c r="H29" s="17">
        <v>2</v>
      </c>
      <c r="I29" s="9">
        <f t="shared" si="0"/>
        <v>3.25609756097561</v>
      </c>
      <c r="J29" s="9">
        <f t="shared" si="1"/>
        <v>0.15853658536585366</v>
      </c>
      <c r="K29" s="9">
        <f t="shared" si="2"/>
        <v>264.63414634146341</v>
      </c>
      <c r="L29" s="9">
        <f t="shared" si="3"/>
        <v>1413.1463414634147</v>
      </c>
      <c r="M29" s="8">
        <v>19</v>
      </c>
      <c r="N29" s="9" t="s">
        <v>33</v>
      </c>
      <c r="O29" s="9">
        <v>2.78</v>
      </c>
      <c r="P29" s="9">
        <v>7.6</v>
      </c>
      <c r="Q29" s="9">
        <v>5.34</v>
      </c>
      <c r="R29" s="9">
        <v>1.64</v>
      </c>
      <c r="S29" s="9">
        <v>0.26</v>
      </c>
      <c r="T29" s="9">
        <v>0.36</v>
      </c>
      <c r="U29" s="9">
        <v>0</v>
      </c>
      <c r="V29" s="9">
        <v>0</v>
      </c>
      <c r="W29" s="9">
        <v>9.27</v>
      </c>
      <c r="X29" s="20">
        <v>120</v>
      </c>
      <c r="Y29" s="9">
        <v>0.41</v>
      </c>
      <c r="Z29" s="9">
        <v>434</v>
      </c>
      <c r="AA29" s="9">
        <v>0.2</v>
      </c>
      <c r="AB29" s="24">
        <v>2.1000000000000001E-2</v>
      </c>
      <c r="AC29" s="9">
        <v>151.69999999999999</v>
      </c>
      <c r="AD29" s="9">
        <v>4.74</v>
      </c>
      <c r="AE29" s="9">
        <v>116.1</v>
      </c>
      <c r="AF29" s="9">
        <v>2.5499999999999998</v>
      </c>
      <c r="AG29" s="9">
        <v>2.25</v>
      </c>
      <c r="AH29" s="9">
        <v>18.32</v>
      </c>
      <c r="AI29" s="9">
        <v>211.02</v>
      </c>
      <c r="AJ29" s="9">
        <v>23.4</v>
      </c>
      <c r="AK29" s="9">
        <v>84</v>
      </c>
      <c r="AL29" s="9">
        <v>82.38</v>
      </c>
      <c r="AM29" s="9">
        <v>29.78</v>
      </c>
      <c r="AN29" s="24">
        <v>1.02</v>
      </c>
      <c r="AO29" s="9">
        <v>0.47</v>
      </c>
      <c r="AP29" s="16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  <c r="JC29" s="2"/>
      <c r="JD29" s="2"/>
      <c r="JE29" s="2"/>
      <c r="JF29" s="2"/>
      <c r="JG29" s="2"/>
      <c r="JH29" s="2"/>
      <c r="JI29" s="2"/>
      <c r="JJ29" s="2"/>
      <c r="JK29" s="2"/>
      <c r="JL29" s="2"/>
      <c r="JM29" s="2"/>
      <c r="JN29" s="2"/>
      <c r="JO29" s="2"/>
      <c r="JP29" s="2"/>
      <c r="JQ29" s="2"/>
      <c r="JR29" s="2"/>
      <c r="JS29" s="2"/>
      <c r="JT29" s="2"/>
      <c r="JU29" s="2"/>
      <c r="JV29" s="2"/>
      <c r="JW29" s="2"/>
      <c r="JX29" s="2"/>
      <c r="JY29" s="2"/>
      <c r="JZ29" s="2"/>
      <c r="KA29" s="2"/>
      <c r="KB29" s="2"/>
      <c r="KC29" s="2"/>
      <c r="KD29" s="2"/>
      <c r="KE29" s="2"/>
      <c r="KF29" s="2"/>
      <c r="KG29" s="2"/>
      <c r="KH29" s="2"/>
      <c r="KI29" s="2"/>
      <c r="KJ29" s="2"/>
      <c r="KK29" s="2"/>
      <c r="KL29" s="2"/>
      <c r="KM29" s="2"/>
      <c r="KN29" s="2"/>
      <c r="KO29" s="2"/>
      <c r="KP29" s="2"/>
      <c r="KQ29" s="2"/>
      <c r="KR29" s="2"/>
      <c r="KS29" s="2"/>
      <c r="KT29" s="2"/>
      <c r="KU29" s="2"/>
      <c r="KV29" s="2"/>
      <c r="KW29" s="2"/>
      <c r="KX29" s="2"/>
      <c r="KY29" s="2"/>
      <c r="KZ29" s="2"/>
      <c r="LA29" s="2"/>
      <c r="LB29" s="2"/>
      <c r="LC29" s="2"/>
      <c r="LD29" s="2"/>
      <c r="LE29" s="2"/>
      <c r="LF29" s="2"/>
      <c r="LG29" s="2"/>
      <c r="LH29" s="2"/>
      <c r="LI29" s="2"/>
      <c r="LJ29" s="2"/>
      <c r="LK29" s="2"/>
      <c r="LL29" s="2"/>
      <c r="LM29" s="2"/>
      <c r="LN29" s="2"/>
      <c r="LO29" s="2"/>
      <c r="LP29" s="2"/>
      <c r="LQ29" s="2"/>
      <c r="LR29" s="2"/>
      <c r="LS29" s="2"/>
      <c r="LT29" s="2"/>
      <c r="LU29" s="2"/>
      <c r="LV29" s="2"/>
      <c r="LW29" s="2"/>
      <c r="LX29" s="2"/>
      <c r="LY29" s="2"/>
      <c r="LZ29" s="2"/>
      <c r="MA29" s="2"/>
      <c r="MB29" s="2"/>
      <c r="MC29" s="2"/>
      <c r="MD29" s="2"/>
      <c r="ME29" s="2"/>
      <c r="MF29" s="2"/>
      <c r="MG29" s="2"/>
      <c r="MH29" s="2"/>
      <c r="MI29" s="2"/>
      <c r="MJ29" s="2"/>
      <c r="MK29" s="2"/>
      <c r="ML29" s="2"/>
      <c r="MM29" s="2"/>
      <c r="MN29" s="2"/>
      <c r="MO29" s="2"/>
      <c r="MP29" s="2"/>
      <c r="MQ29" s="2"/>
      <c r="MR29" s="2"/>
      <c r="MS29" s="2"/>
      <c r="MT29" s="2"/>
      <c r="MU29" s="2"/>
      <c r="MV29" s="2"/>
      <c r="MW29" s="2"/>
      <c r="MX29" s="2"/>
      <c r="MY29" s="2"/>
      <c r="MZ29" s="2"/>
      <c r="NA29" s="2"/>
      <c r="NB29" s="2"/>
      <c r="NC29" s="2"/>
      <c r="ND29" s="2"/>
      <c r="NE29" s="2"/>
      <c r="NF29" s="2"/>
      <c r="NG29" s="2"/>
      <c r="NH29" s="2"/>
      <c r="NI29" s="2"/>
      <c r="NJ29" s="2"/>
      <c r="NK29" s="2"/>
      <c r="NL29" s="2"/>
      <c r="NM29" s="2"/>
      <c r="NN29" s="2"/>
      <c r="NO29" s="2"/>
      <c r="NP29" s="2"/>
      <c r="NQ29" s="2"/>
      <c r="NR29" s="2"/>
      <c r="NS29" s="2"/>
      <c r="NT29" s="2"/>
      <c r="NU29" s="2"/>
      <c r="NV29" s="2"/>
      <c r="NW29" s="2"/>
      <c r="NX29" s="2"/>
      <c r="NY29" s="2"/>
      <c r="NZ29" s="2"/>
      <c r="OA29" s="2"/>
      <c r="OB29" s="2"/>
      <c r="OC29" s="2"/>
      <c r="OD29" s="2"/>
      <c r="OE29" s="2"/>
      <c r="OF29" s="2"/>
      <c r="OG29" s="2"/>
      <c r="OH29" s="2"/>
      <c r="OI29" s="2"/>
      <c r="OJ29" s="2"/>
      <c r="OK29" s="2"/>
      <c r="OL29" s="2"/>
      <c r="OM29" s="2"/>
      <c r="ON29" s="2"/>
      <c r="OO29" s="2"/>
      <c r="OP29" s="2"/>
      <c r="OQ29" s="2"/>
      <c r="OR29" s="2"/>
      <c r="OS29" s="2"/>
      <c r="OT29" s="2"/>
      <c r="OU29" s="2"/>
      <c r="OV29" s="2"/>
      <c r="OW29" s="2"/>
      <c r="OX29" s="2"/>
      <c r="OY29" s="2"/>
      <c r="OZ29" s="2"/>
      <c r="PA29" s="2"/>
      <c r="PB29" s="2"/>
      <c r="PC29" s="2"/>
      <c r="PD29" s="2"/>
      <c r="PE29" s="2"/>
      <c r="PF29" s="2"/>
      <c r="PG29" s="2"/>
      <c r="PH29" s="2"/>
      <c r="PI29" s="2"/>
      <c r="PJ29" s="2"/>
      <c r="PK29" s="2"/>
      <c r="PL29" s="2"/>
      <c r="PM29" s="2"/>
      <c r="PN29" s="2"/>
      <c r="PO29" s="2"/>
      <c r="PP29" s="2"/>
      <c r="PQ29" s="2"/>
      <c r="PR29" s="2"/>
      <c r="PS29" s="2"/>
      <c r="PT29" s="2"/>
      <c r="PU29" s="2"/>
      <c r="PV29" s="2"/>
      <c r="PW29" s="2"/>
      <c r="PX29" s="2"/>
      <c r="PY29" s="2"/>
      <c r="PZ29" s="2"/>
      <c r="QA29" s="2"/>
      <c r="QB29" s="2"/>
      <c r="QC29" s="2"/>
      <c r="QD29" s="2"/>
      <c r="QE29" s="2"/>
      <c r="QF29" s="2"/>
      <c r="QG29" s="2"/>
      <c r="QH29" s="2"/>
      <c r="QI29" s="2"/>
      <c r="QJ29" s="2"/>
      <c r="QK29" s="2"/>
      <c r="QL29" s="2"/>
      <c r="QM29" s="2"/>
      <c r="QN29" s="2"/>
      <c r="QO29" s="2"/>
      <c r="QP29" s="2"/>
      <c r="QQ29" s="2"/>
      <c r="QR29" s="2"/>
      <c r="QS29" s="2"/>
      <c r="QT29" s="2"/>
      <c r="QU29" s="2"/>
      <c r="QV29" s="2"/>
      <c r="QW29" s="2"/>
      <c r="QX29" s="2"/>
      <c r="QY29" s="2"/>
      <c r="QZ29" s="2"/>
      <c r="RA29" s="2"/>
      <c r="RB29" s="2"/>
      <c r="RC29" s="2"/>
      <c r="RD29" s="2"/>
      <c r="RE29" s="2"/>
      <c r="RF29" s="2"/>
      <c r="RG29" s="2"/>
      <c r="RH29" s="2"/>
      <c r="RI29" s="2"/>
      <c r="RJ29" s="2"/>
      <c r="RK29" s="2"/>
      <c r="RL29" s="2"/>
      <c r="RM29" s="2"/>
      <c r="RN29" s="2"/>
      <c r="RO29" s="2"/>
      <c r="RP29" s="2"/>
      <c r="RQ29" s="2"/>
      <c r="RR29" s="2"/>
      <c r="RS29" s="2"/>
      <c r="RT29" s="2"/>
      <c r="RU29" s="2"/>
      <c r="RV29" s="2"/>
      <c r="RW29" s="2"/>
      <c r="RX29" s="2"/>
      <c r="RY29" s="2"/>
      <c r="RZ29" s="2"/>
      <c r="SA29" s="2"/>
      <c r="SB29" s="2"/>
      <c r="SC29" s="2"/>
      <c r="SD29" s="2"/>
      <c r="SE29" s="2"/>
      <c r="SF29" s="2"/>
      <c r="SG29" s="2"/>
      <c r="SH29" s="2"/>
      <c r="SI29" s="2"/>
      <c r="SJ29" s="2"/>
      <c r="SK29" s="2"/>
      <c r="SL29" s="2"/>
      <c r="SM29" s="2"/>
      <c r="SN29" s="2"/>
      <c r="SO29" s="2"/>
      <c r="SP29" s="2"/>
      <c r="SQ29" s="2"/>
      <c r="SR29" s="2"/>
      <c r="SS29" s="2"/>
      <c r="ST29" s="2"/>
      <c r="SU29" s="2"/>
      <c r="SV29" s="2"/>
      <c r="SW29" s="2"/>
      <c r="SX29" s="2"/>
      <c r="SY29" s="2"/>
      <c r="SZ29" s="2"/>
      <c r="TA29" s="2"/>
      <c r="TB29" s="2"/>
      <c r="TC29" s="2"/>
      <c r="TD29" s="2"/>
      <c r="TE29" s="2"/>
      <c r="TF29" s="2"/>
      <c r="TG29" s="2"/>
      <c r="TH29" s="2"/>
      <c r="TI29" s="2"/>
      <c r="TJ29" s="2"/>
      <c r="TK29" s="2"/>
      <c r="TL29" s="2"/>
      <c r="TM29" s="2"/>
      <c r="TN29" s="2"/>
      <c r="TO29" s="2"/>
      <c r="TP29" s="2"/>
      <c r="TQ29" s="2"/>
      <c r="TR29" s="2"/>
      <c r="TS29" s="2"/>
      <c r="TT29" s="2"/>
      <c r="TU29" s="2"/>
      <c r="TV29" s="2"/>
      <c r="TW29" s="2"/>
      <c r="TX29" s="2"/>
      <c r="TY29" s="2"/>
      <c r="TZ29" s="2"/>
      <c r="UA29" s="2"/>
      <c r="UB29" s="2"/>
      <c r="UC29" s="2"/>
      <c r="UD29" s="2"/>
      <c r="UE29" s="2"/>
      <c r="UF29" s="2"/>
      <c r="UG29" s="2"/>
      <c r="UH29" s="2"/>
      <c r="UI29" s="2"/>
      <c r="UJ29" s="2"/>
      <c r="UK29" s="2"/>
      <c r="UL29" s="2"/>
      <c r="UM29" s="2"/>
      <c r="UN29" s="2"/>
      <c r="UO29" s="2"/>
      <c r="UP29" s="2"/>
      <c r="UQ29" s="2"/>
      <c r="UR29" s="2"/>
      <c r="US29" s="2"/>
      <c r="UT29" s="2"/>
      <c r="UU29" s="2"/>
      <c r="UV29" s="2"/>
      <c r="UW29" s="2"/>
      <c r="UX29" s="2"/>
      <c r="UY29" s="2"/>
      <c r="UZ29" s="2"/>
      <c r="VA29" s="2"/>
      <c r="VB29" s="2"/>
      <c r="VC29" s="2"/>
      <c r="VD29" s="2"/>
      <c r="VE29" s="2"/>
      <c r="VF29" s="2"/>
      <c r="VG29" s="2"/>
      <c r="VH29" s="2"/>
      <c r="VI29" s="2"/>
      <c r="VJ29" s="2"/>
      <c r="VK29" s="2"/>
      <c r="VL29" s="2"/>
      <c r="VM29" s="2"/>
      <c r="VN29" s="2"/>
      <c r="VO29" s="2"/>
      <c r="VP29" s="2"/>
      <c r="VQ29" s="2"/>
      <c r="VR29" s="2"/>
      <c r="VS29" s="2"/>
      <c r="VT29" s="2"/>
      <c r="VU29" s="2"/>
      <c r="VV29" s="2"/>
      <c r="VW29" s="2"/>
      <c r="VX29" s="2"/>
      <c r="VY29" s="2"/>
      <c r="VZ29" s="2"/>
      <c r="WA29" s="2"/>
      <c r="WB29" s="2"/>
      <c r="WC29" s="2"/>
      <c r="WD29" s="2"/>
      <c r="WE29" s="2"/>
      <c r="WF29" s="2"/>
      <c r="WG29" s="2"/>
      <c r="WH29" s="2"/>
      <c r="WI29" s="2"/>
      <c r="WJ29" s="2"/>
      <c r="WK29" s="2"/>
      <c r="WL29" s="2"/>
      <c r="WM29" s="2"/>
      <c r="WN29" s="2"/>
      <c r="WO29" s="2"/>
      <c r="WP29" s="2"/>
      <c r="WQ29" s="2"/>
      <c r="WR29" s="2"/>
      <c r="WS29" s="2"/>
      <c r="WT29" s="2"/>
      <c r="WU29" s="2"/>
      <c r="WV29" s="2"/>
      <c r="WW29" s="2"/>
      <c r="WX29" s="2"/>
      <c r="WY29" s="2"/>
      <c r="WZ29" s="2"/>
      <c r="XA29" s="2"/>
      <c r="XB29" s="2"/>
      <c r="XC29" s="2"/>
      <c r="XD29" s="2"/>
      <c r="XE29" s="2"/>
      <c r="XF29" s="2"/>
      <c r="XG29" s="2"/>
      <c r="XH29" s="2"/>
      <c r="XI29" s="2"/>
      <c r="XJ29" s="2"/>
      <c r="XK29" s="2"/>
      <c r="XL29" s="2"/>
      <c r="XM29" s="2"/>
      <c r="XN29" s="2"/>
      <c r="XO29" s="2"/>
      <c r="XP29" s="2"/>
      <c r="XQ29" s="2"/>
      <c r="XR29" s="2"/>
      <c r="XS29" s="2"/>
      <c r="XT29" s="2"/>
      <c r="XU29" s="2"/>
      <c r="XV29" s="2"/>
      <c r="XW29" s="2"/>
      <c r="XX29" s="2"/>
      <c r="XY29" s="2"/>
      <c r="XZ29" s="2"/>
      <c r="YA29" s="2"/>
      <c r="YB29" s="2"/>
      <c r="YC29" s="2"/>
      <c r="YD29" s="2"/>
      <c r="YE29" s="2"/>
      <c r="YF29" s="2"/>
      <c r="YG29" s="2"/>
      <c r="YH29" s="2"/>
      <c r="YI29" s="2"/>
      <c r="YJ29" s="2"/>
      <c r="YK29" s="2"/>
      <c r="YL29" s="2"/>
      <c r="YM29" s="2"/>
      <c r="YN29" s="2"/>
      <c r="YO29" s="2"/>
      <c r="YP29" s="2"/>
      <c r="YQ29" s="2"/>
      <c r="YR29" s="2"/>
      <c r="YS29" s="2"/>
      <c r="YT29" s="2"/>
      <c r="YU29" s="2"/>
      <c r="YV29" s="2"/>
      <c r="YW29" s="2"/>
      <c r="YX29" s="2"/>
      <c r="YY29" s="2"/>
      <c r="YZ29" s="2"/>
      <c r="ZA29" s="2"/>
      <c r="ZB29" s="2"/>
      <c r="ZC29" s="2"/>
      <c r="ZD29" s="2"/>
      <c r="ZE29" s="2"/>
      <c r="ZF29" s="2"/>
      <c r="ZG29" s="2"/>
      <c r="ZH29" s="2"/>
      <c r="ZI29" s="2"/>
      <c r="ZJ29" s="2"/>
      <c r="ZK29" s="2"/>
      <c r="ZL29" s="2"/>
      <c r="ZM29" s="2"/>
      <c r="ZN29" s="2"/>
      <c r="ZO29" s="2"/>
      <c r="ZP29" s="2"/>
      <c r="ZQ29" s="2"/>
      <c r="ZR29" s="2"/>
      <c r="ZS29" s="2"/>
      <c r="ZT29" s="2"/>
      <c r="ZU29" s="2"/>
      <c r="ZV29" s="2"/>
      <c r="ZW29" s="2"/>
      <c r="ZX29" s="2"/>
      <c r="ZY29" s="2"/>
      <c r="ZZ29" s="2"/>
      <c r="AAA29" s="2"/>
      <c r="AAB29" s="2"/>
      <c r="AAC29" s="2"/>
      <c r="AAD29" s="2"/>
      <c r="AAE29" s="2"/>
      <c r="AAF29" s="2"/>
      <c r="AAG29" s="2"/>
      <c r="AAH29" s="2"/>
      <c r="AAI29" s="2"/>
      <c r="AAJ29" s="2"/>
      <c r="AAK29" s="2"/>
      <c r="AAL29" s="2"/>
      <c r="AAM29" s="2"/>
      <c r="AAN29" s="2"/>
      <c r="AAO29" s="2"/>
      <c r="AAP29" s="2"/>
      <c r="AAQ29" s="2"/>
      <c r="AAR29" s="2"/>
      <c r="AAS29" s="2"/>
      <c r="AAT29" s="2"/>
      <c r="AAU29" s="2"/>
      <c r="AAV29" s="2"/>
      <c r="AAW29" s="2"/>
      <c r="AAX29" s="2"/>
      <c r="AAY29" s="2"/>
      <c r="AAZ29" s="2"/>
      <c r="ABA29" s="2"/>
      <c r="ABB29" s="2"/>
      <c r="ABC29" s="2"/>
      <c r="ABD29" s="2"/>
      <c r="ABE29" s="2"/>
      <c r="ABF29" s="2"/>
      <c r="ABG29" s="2"/>
      <c r="ABH29" s="2"/>
      <c r="ABI29" s="2"/>
      <c r="ABJ29" s="2"/>
      <c r="ABK29" s="2"/>
      <c r="ABL29" s="2"/>
      <c r="ABM29" s="2"/>
      <c r="ABN29" s="2"/>
      <c r="ABO29" s="2"/>
      <c r="ABP29" s="2"/>
      <c r="ABQ29" s="2"/>
      <c r="ABR29" s="2"/>
      <c r="ABS29" s="2"/>
      <c r="ABT29" s="2"/>
      <c r="ABU29" s="2"/>
      <c r="ABV29" s="2"/>
      <c r="ABW29" s="2"/>
      <c r="ABX29" s="2"/>
      <c r="ABY29" s="2"/>
      <c r="ABZ29" s="2"/>
      <c r="ACA29" s="2"/>
      <c r="ACB29" s="2"/>
      <c r="ACC29" s="2"/>
      <c r="ACD29" s="2"/>
      <c r="ACE29" s="2"/>
      <c r="ACF29" s="2"/>
      <c r="ACG29" s="2"/>
      <c r="ACH29" s="2"/>
      <c r="ACI29" s="2"/>
      <c r="ACJ29" s="2"/>
      <c r="ACK29" s="2"/>
      <c r="ACL29" s="2"/>
      <c r="ACM29" s="2"/>
      <c r="ACN29" s="2"/>
      <c r="ACO29" s="2"/>
      <c r="ACP29" s="2"/>
      <c r="ACQ29" s="2"/>
      <c r="ACR29" s="2"/>
      <c r="ACS29" s="2"/>
      <c r="ACT29" s="2"/>
      <c r="ACU29" s="2"/>
      <c r="ACV29" s="2"/>
      <c r="ACW29" s="2"/>
      <c r="ACX29" s="2"/>
      <c r="ACY29" s="2"/>
      <c r="ACZ29" s="2"/>
      <c r="ADA29" s="2"/>
      <c r="ADB29" s="2"/>
      <c r="ADC29" s="2"/>
      <c r="ADD29" s="2"/>
      <c r="ADE29" s="2"/>
      <c r="ADF29" s="2"/>
      <c r="ADG29" s="2"/>
      <c r="ADH29" s="2"/>
      <c r="ADI29" s="2"/>
      <c r="ADJ29" s="2"/>
      <c r="ADK29" s="2"/>
      <c r="ADL29" s="2"/>
      <c r="ADM29" s="2"/>
      <c r="ADN29" s="2"/>
      <c r="ADO29" s="2"/>
      <c r="ADP29" s="2"/>
      <c r="ADQ29" s="2"/>
      <c r="ADR29" s="2"/>
      <c r="ADS29" s="2"/>
      <c r="ADT29" s="2"/>
      <c r="ADU29" s="2"/>
      <c r="ADV29" s="2"/>
      <c r="ADW29" s="2"/>
      <c r="ADX29" s="2"/>
      <c r="ADY29" s="2"/>
      <c r="ADZ29" s="2"/>
      <c r="AEA29" s="2"/>
      <c r="AEB29" s="2"/>
      <c r="AEC29" s="2"/>
      <c r="AED29" s="2"/>
      <c r="AEE29" s="2"/>
      <c r="AEF29" s="2"/>
      <c r="AEG29" s="2"/>
      <c r="AEH29" s="2"/>
      <c r="AEI29" s="2"/>
      <c r="AEJ29" s="2"/>
      <c r="AEK29" s="2"/>
      <c r="AEL29" s="2"/>
      <c r="AEM29" s="2"/>
      <c r="AEN29" s="2"/>
      <c r="AEO29" s="2"/>
      <c r="AEP29" s="2"/>
      <c r="AEQ29" s="2"/>
      <c r="AER29" s="2"/>
      <c r="AES29" s="2"/>
      <c r="AET29" s="2"/>
      <c r="AEU29" s="2"/>
      <c r="AEV29" s="2"/>
      <c r="AEW29" s="2"/>
      <c r="AEX29" s="2"/>
      <c r="AEY29" s="2"/>
      <c r="AEZ29" s="2"/>
      <c r="AFA29" s="2"/>
      <c r="AFB29" s="2"/>
      <c r="AFC29" s="2"/>
      <c r="AFD29" s="2"/>
      <c r="AFE29" s="2"/>
      <c r="AFF29" s="2"/>
      <c r="AFG29" s="2"/>
      <c r="AFH29" s="2"/>
      <c r="AFI29" s="2"/>
      <c r="AFJ29" s="2"/>
      <c r="AFK29" s="2"/>
      <c r="AFL29" s="2"/>
      <c r="AFM29" s="2"/>
      <c r="AFN29" s="2"/>
      <c r="AFO29" s="2"/>
      <c r="AFP29" s="2"/>
      <c r="AFQ29" s="2"/>
      <c r="AFR29" s="2"/>
      <c r="AFS29" s="2"/>
      <c r="AFT29" s="2"/>
      <c r="AFU29" s="2"/>
      <c r="AFV29" s="2"/>
      <c r="AFW29" s="2"/>
      <c r="AFX29" s="2"/>
      <c r="AFY29" s="2"/>
      <c r="AFZ29" s="2"/>
      <c r="AGA29" s="2"/>
      <c r="AGB29" s="2"/>
      <c r="AGC29" s="2"/>
      <c r="AGD29" s="2"/>
      <c r="AGE29" s="2"/>
      <c r="AGF29" s="2"/>
      <c r="AGG29" s="2"/>
      <c r="AGH29" s="2"/>
      <c r="AGI29" s="2"/>
      <c r="AGJ29" s="2"/>
      <c r="AGK29" s="2"/>
      <c r="AGL29" s="2"/>
      <c r="AGM29" s="2"/>
      <c r="AGN29" s="2"/>
      <c r="AGO29" s="2"/>
      <c r="AGP29" s="2"/>
      <c r="AGQ29" s="2"/>
      <c r="AGR29" s="2"/>
      <c r="AGS29" s="2"/>
      <c r="AGT29" s="2"/>
      <c r="AGU29" s="2"/>
      <c r="AGV29" s="2"/>
      <c r="AGW29" s="2"/>
      <c r="AGX29" s="2"/>
      <c r="AGY29" s="2"/>
      <c r="AGZ29" s="2"/>
      <c r="AHA29" s="2"/>
      <c r="AHB29" s="2"/>
      <c r="AHC29" s="2"/>
      <c r="AHD29" s="2"/>
      <c r="AHE29" s="2"/>
      <c r="AHF29" s="2"/>
      <c r="AHG29" s="2"/>
      <c r="AHH29" s="2"/>
      <c r="AHI29" s="2"/>
      <c r="AHJ29" s="2"/>
      <c r="AHK29" s="2"/>
      <c r="AHL29" s="2"/>
      <c r="AHM29" s="2"/>
      <c r="AHN29" s="2"/>
      <c r="AHO29" s="2"/>
      <c r="AHP29" s="2"/>
      <c r="AHQ29" s="2"/>
      <c r="AHR29" s="2"/>
      <c r="AHS29" s="2"/>
      <c r="AHT29" s="2"/>
      <c r="AHU29" s="2"/>
      <c r="AHV29" s="2"/>
      <c r="AHW29" s="2"/>
      <c r="AHX29" s="2"/>
      <c r="AHY29" s="2"/>
      <c r="AHZ29" s="2"/>
      <c r="AIA29" s="2"/>
      <c r="AIB29" s="2"/>
      <c r="AIC29" s="2"/>
      <c r="AID29" s="2"/>
      <c r="AIE29" s="2"/>
      <c r="AIF29" s="2"/>
      <c r="AIG29" s="2"/>
      <c r="AIH29" s="2"/>
      <c r="AII29" s="2"/>
      <c r="AIJ29" s="2"/>
      <c r="AIK29" s="2"/>
      <c r="AIL29" s="2"/>
      <c r="AIM29" s="2"/>
      <c r="AIN29" s="2"/>
      <c r="AIO29" s="2"/>
      <c r="AIP29" s="2"/>
      <c r="AIQ29" s="2"/>
      <c r="AIR29" s="2"/>
      <c r="AIS29" s="2"/>
      <c r="AIT29" s="2"/>
      <c r="AIU29" s="2"/>
      <c r="AIV29" s="2"/>
      <c r="AIW29" s="2"/>
      <c r="AIX29" s="2"/>
      <c r="AIY29" s="2"/>
      <c r="AIZ29" s="2"/>
      <c r="AJA29" s="2"/>
      <c r="AJB29" s="2"/>
      <c r="AJC29" s="2"/>
      <c r="AJD29" s="2"/>
      <c r="AJE29" s="2"/>
      <c r="AJF29" s="2"/>
      <c r="AJG29" s="2"/>
      <c r="AJH29" s="2"/>
      <c r="AJI29" s="2"/>
      <c r="AJJ29" s="2"/>
      <c r="AJK29" s="2"/>
      <c r="AJL29" s="2"/>
      <c r="AJM29" s="2"/>
      <c r="AJN29" s="2"/>
      <c r="AJO29" s="2"/>
      <c r="AJP29" s="2"/>
      <c r="AJQ29" s="2"/>
      <c r="AJR29" s="2"/>
      <c r="AJS29" s="2"/>
      <c r="AJT29" s="2"/>
      <c r="AJU29" s="2"/>
      <c r="AJV29" s="2"/>
      <c r="AJW29" s="2"/>
      <c r="AJX29" s="2"/>
      <c r="AJY29" s="2"/>
      <c r="AJZ29" s="2"/>
    </row>
    <row r="30" spans="1:962">
      <c r="A30" s="16">
        <v>29</v>
      </c>
      <c r="B30" s="8">
        <v>2</v>
      </c>
      <c r="C30" s="9">
        <v>11.53</v>
      </c>
      <c r="D30" s="9">
        <v>8.7899999999999991</v>
      </c>
      <c r="E30" s="9">
        <v>1.69</v>
      </c>
      <c r="F30" s="9">
        <v>0.41</v>
      </c>
      <c r="G30" s="9">
        <v>624</v>
      </c>
      <c r="H30" s="17">
        <v>2</v>
      </c>
      <c r="I30" s="9">
        <f t="shared" si="0"/>
        <v>5.2011834319526624</v>
      </c>
      <c r="J30" s="9">
        <f t="shared" si="1"/>
        <v>0.24260355029585798</v>
      </c>
      <c r="K30" s="9">
        <f t="shared" si="2"/>
        <v>369.23076923076923</v>
      </c>
      <c r="L30" s="9">
        <f t="shared" si="3"/>
        <v>3245.538461538461</v>
      </c>
      <c r="M30" s="8">
        <v>5</v>
      </c>
      <c r="N30" s="9" t="s">
        <v>28</v>
      </c>
      <c r="O30" s="9">
        <v>3.14</v>
      </c>
      <c r="P30" s="9">
        <v>11.53</v>
      </c>
      <c r="Q30" s="9">
        <v>8.7899999999999991</v>
      </c>
      <c r="R30" s="9">
        <v>1.69</v>
      </c>
      <c r="S30" s="9">
        <v>0.41</v>
      </c>
      <c r="T30" s="9">
        <v>0.63</v>
      </c>
      <c r="U30" s="9">
        <v>0</v>
      </c>
      <c r="V30" s="9">
        <v>0.01</v>
      </c>
      <c r="W30" s="9">
        <v>8.9600000000000009</v>
      </c>
      <c r="X30" s="20">
        <v>117</v>
      </c>
      <c r="Y30" s="9">
        <v>0.39</v>
      </c>
      <c r="Z30" s="9">
        <v>624</v>
      </c>
      <c r="AA30" s="9">
        <v>0.4</v>
      </c>
      <c r="AB30" s="24">
        <v>3.5000000000000003E-2</v>
      </c>
      <c r="AC30" s="9">
        <v>145</v>
      </c>
      <c r="AD30" s="9">
        <v>3.8</v>
      </c>
      <c r="AE30" s="9">
        <v>111.4</v>
      </c>
      <c r="AF30" s="9">
        <v>2.84</v>
      </c>
      <c r="AG30" s="9">
        <v>1.66</v>
      </c>
      <c r="AH30" s="9">
        <v>16.21</v>
      </c>
      <c r="AI30" s="9">
        <v>195.09</v>
      </c>
      <c r="AJ30" s="9">
        <v>26.3</v>
      </c>
      <c r="AK30" s="9">
        <v>44.7</v>
      </c>
      <c r="AL30" s="9">
        <v>77.16</v>
      </c>
      <c r="AM30" s="9">
        <v>30.78</v>
      </c>
      <c r="AN30" s="24">
        <v>1.016</v>
      </c>
      <c r="AO30" s="9">
        <v>0.57299999999999995</v>
      </c>
      <c r="AP30" s="16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  <c r="JC30" s="2"/>
      <c r="JD30" s="2"/>
      <c r="JE30" s="2"/>
      <c r="JF30" s="2"/>
      <c r="JG30" s="2"/>
      <c r="JH30" s="2"/>
      <c r="JI30" s="2"/>
      <c r="JJ30" s="2"/>
      <c r="JK30" s="2"/>
      <c r="JL30" s="2"/>
      <c r="JM30" s="2"/>
      <c r="JN30" s="2"/>
      <c r="JO30" s="2"/>
      <c r="JP30" s="2"/>
      <c r="JQ30" s="2"/>
      <c r="JR30" s="2"/>
      <c r="JS30" s="2"/>
      <c r="JT30" s="2"/>
      <c r="JU30" s="2"/>
      <c r="JV30" s="2"/>
      <c r="JW30" s="2"/>
      <c r="JX30" s="2"/>
      <c r="JY30" s="2"/>
      <c r="JZ30" s="2"/>
      <c r="KA30" s="2"/>
      <c r="KB30" s="2"/>
      <c r="KC30" s="2"/>
      <c r="KD30" s="2"/>
      <c r="KE30" s="2"/>
      <c r="KF30" s="2"/>
      <c r="KG30" s="2"/>
      <c r="KH30" s="2"/>
      <c r="KI30" s="2"/>
      <c r="KJ30" s="2"/>
      <c r="KK30" s="2"/>
      <c r="KL30" s="2"/>
      <c r="KM30" s="2"/>
      <c r="KN30" s="2"/>
      <c r="KO30" s="2"/>
      <c r="KP30" s="2"/>
      <c r="KQ30" s="2"/>
      <c r="KR30" s="2"/>
      <c r="KS30" s="2"/>
      <c r="KT30" s="2"/>
      <c r="KU30" s="2"/>
      <c r="KV30" s="2"/>
      <c r="KW30" s="2"/>
      <c r="KX30" s="2"/>
      <c r="KY30" s="2"/>
      <c r="KZ30" s="2"/>
      <c r="LA30" s="2"/>
      <c r="LB30" s="2"/>
      <c r="LC30" s="2"/>
      <c r="LD30" s="2"/>
      <c r="LE30" s="2"/>
      <c r="LF30" s="2"/>
      <c r="LG30" s="2"/>
      <c r="LH30" s="2"/>
      <c r="LI30" s="2"/>
      <c r="LJ30" s="2"/>
      <c r="LK30" s="2"/>
      <c r="LL30" s="2"/>
      <c r="LM30" s="2"/>
      <c r="LN30" s="2"/>
      <c r="LO30" s="2"/>
      <c r="LP30" s="2"/>
      <c r="LQ30" s="2"/>
      <c r="LR30" s="2"/>
      <c r="LS30" s="2"/>
      <c r="LT30" s="2"/>
      <c r="LU30" s="2"/>
      <c r="LV30" s="2"/>
      <c r="LW30" s="2"/>
      <c r="LX30" s="2"/>
      <c r="LY30" s="2"/>
      <c r="LZ30" s="2"/>
      <c r="MA30" s="2"/>
      <c r="MB30" s="2"/>
      <c r="MC30" s="2"/>
      <c r="MD30" s="2"/>
      <c r="ME30" s="2"/>
      <c r="MF30" s="2"/>
      <c r="MG30" s="2"/>
      <c r="MH30" s="2"/>
      <c r="MI30" s="2"/>
      <c r="MJ30" s="2"/>
      <c r="MK30" s="2"/>
      <c r="ML30" s="2"/>
      <c r="MM30" s="2"/>
      <c r="MN30" s="2"/>
      <c r="MO30" s="2"/>
      <c r="MP30" s="2"/>
      <c r="MQ30" s="2"/>
      <c r="MR30" s="2"/>
      <c r="MS30" s="2"/>
      <c r="MT30" s="2"/>
      <c r="MU30" s="2"/>
      <c r="MV30" s="2"/>
      <c r="MW30" s="2"/>
      <c r="MX30" s="2"/>
      <c r="MY30" s="2"/>
      <c r="MZ30" s="2"/>
      <c r="NA30" s="2"/>
      <c r="NB30" s="2"/>
      <c r="NC30" s="2"/>
      <c r="ND30" s="2"/>
      <c r="NE30" s="2"/>
      <c r="NF30" s="2"/>
      <c r="NG30" s="2"/>
      <c r="NH30" s="2"/>
      <c r="NI30" s="2"/>
      <c r="NJ30" s="2"/>
      <c r="NK30" s="2"/>
      <c r="NL30" s="2"/>
      <c r="NM30" s="2"/>
      <c r="NN30" s="2"/>
      <c r="NO30" s="2"/>
      <c r="NP30" s="2"/>
      <c r="NQ30" s="2"/>
      <c r="NR30" s="2"/>
      <c r="NS30" s="2"/>
      <c r="NT30" s="2"/>
      <c r="NU30" s="2"/>
      <c r="NV30" s="2"/>
      <c r="NW30" s="2"/>
      <c r="NX30" s="2"/>
      <c r="NY30" s="2"/>
      <c r="NZ30" s="2"/>
      <c r="OA30" s="2"/>
      <c r="OB30" s="2"/>
      <c r="OC30" s="2"/>
      <c r="OD30" s="2"/>
      <c r="OE30" s="2"/>
      <c r="OF30" s="2"/>
      <c r="OG30" s="2"/>
      <c r="OH30" s="2"/>
      <c r="OI30" s="2"/>
      <c r="OJ30" s="2"/>
      <c r="OK30" s="2"/>
      <c r="OL30" s="2"/>
      <c r="OM30" s="2"/>
      <c r="ON30" s="2"/>
      <c r="OO30" s="2"/>
      <c r="OP30" s="2"/>
      <c r="OQ30" s="2"/>
      <c r="OR30" s="2"/>
      <c r="OS30" s="2"/>
      <c r="OT30" s="2"/>
      <c r="OU30" s="2"/>
      <c r="OV30" s="2"/>
      <c r="OW30" s="2"/>
      <c r="OX30" s="2"/>
      <c r="OY30" s="2"/>
      <c r="OZ30" s="2"/>
      <c r="PA30" s="2"/>
      <c r="PB30" s="2"/>
      <c r="PC30" s="2"/>
      <c r="PD30" s="2"/>
      <c r="PE30" s="2"/>
      <c r="PF30" s="2"/>
      <c r="PG30" s="2"/>
      <c r="PH30" s="2"/>
      <c r="PI30" s="2"/>
      <c r="PJ30" s="2"/>
      <c r="PK30" s="2"/>
      <c r="PL30" s="2"/>
      <c r="PM30" s="2"/>
      <c r="PN30" s="2"/>
      <c r="PO30" s="2"/>
      <c r="PP30" s="2"/>
      <c r="PQ30" s="2"/>
      <c r="PR30" s="2"/>
      <c r="PS30" s="2"/>
      <c r="PT30" s="2"/>
      <c r="PU30" s="2"/>
      <c r="PV30" s="2"/>
      <c r="PW30" s="2"/>
      <c r="PX30" s="2"/>
      <c r="PY30" s="2"/>
      <c r="PZ30" s="2"/>
      <c r="QA30" s="2"/>
      <c r="QB30" s="2"/>
      <c r="QC30" s="2"/>
      <c r="QD30" s="2"/>
      <c r="QE30" s="2"/>
      <c r="QF30" s="2"/>
      <c r="QG30" s="2"/>
      <c r="QH30" s="2"/>
      <c r="QI30" s="2"/>
      <c r="QJ30" s="2"/>
      <c r="QK30" s="2"/>
      <c r="QL30" s="2"/>
      <c r="QM30" s="2"/>
      <c r="QN30" s="2"/>
      <c r="QO30" s="2"/>
      <c r="QP30" s="2"/>
      <c r="QQ30" s="2"/>
      <c r="QR30" s="2"/>
      <c r="QS30" s="2"/>
      <c r="QT30" s="2"/>
      <c r="QU30" s="2"/>
      <c r="QV30" s="2"/>
      <c r="QW30" s="2"/>
      <c r="QX30" s="2"/>
      <c r="QY30" s="2"/>
      <c r="QZ30" s="2"/>
      <c r="RA30" s="2"/>
      <c r="RB30" s="2"/>
      <c r="RC30" s="2"/>
      <c r="RD30" s="2"/>
      <c r="RE30" s="2"/>
      <c r="RF30" s="2"/>
      <c r="RG30" s="2"/>
      <c r="RH30" s="2"/>
      <c r="RI30" s="2"/>
      <c r="RJ30" s="2"/>
      <c r="RK30" s="2"/>
      <c r="RL30" s="2"/>
      <c r="RM30" s="2"/>
      <c r="RN30" s="2"/>
      <c r="RO30" s="2"/>
      <c r="RP30" s="2"/>
      <c r="RQ30" s="2"/>
      <c r="RR30" s="2"/>
      <c r="RS30" s="2"/>
      <c r="RT30" s="2"/>
      <c r="RU30" s="2"/>
      <c r="RV30" s="2"/>
      <c r="RW30" s="2"/>
      <c r="RX30" s="2"/>
      <c r="RY30" s="2"/>
      <c r="RZ30" s="2"/>
      <c r="SA30" s="2"/>
      <c r="SB30" s="2"/>
      <c r="SC30" s="2"/>
      <c r="SD30" s="2"/>
      <c r="SE30" s="2"/>
      <c r="SF30" s="2"/>
      <c r="SG30" s="2"/>
      <c r="SH30" s="2"/>
      <c r="SI30" s="2"/>
      <c r="SJ30" s="2"/>
      <c r="SK30" s="2"/>
      <c r="SL30" s="2"/>
      <c r="SM30" s="2"/>
      <c r="SN30" s="2"/>
      <c r="SO30" s="2"/>
      <c r="SP30" s="2"/>
      <c r="SQ30" s="2"/>
      <c r="SR30" s="2"/>
      <c r="SS30" s="2"/>
      <c r="ST30" s="2"/>
      <c r="SU30" s="2"/>
      <c r="SV30" s="2"/>
      <c r="SW30" s="2"/>
      <c r="SX30" s="2"/>
      <c r="SY30" s="2"/>
      <c r="SZ30" s="2"/>
      <c r="TA30" s="2"/>
      <c r="TB30" s="2"/>
      <c r="TC30" s="2"/>
      <c r="TD30" s="2"/>
      <c r="TE30" s="2"/>
      <c r="TF30" s="2"/>
      <c r="TG30" s="2"/>
      <c r="TH30" s="2"/>
      <c r="TI30" s="2"/>
      <c r="TJ30" s="2"/>
      <c r="TK30" s="2"/>
      <c r="TL30" s="2"/>
      <c r="TM30" s="2"/>
      <c r="TN30" s="2"/>
      <c r="TO30" s="2"/>
      <c r="TP30" s="2"/>
      <c r="TQ30" s="2"/>
      <c r="TR30" s="2"/>
      <c r="TS30" s="2"/>
      <c r="TT30" s="2"/>
      <c r="TU30" s="2"/>
      <c r="TV30" s="2"/>
      <c r="TW30" s="2"/>
      <c r="TX30" s="2"/>
      <c r="TY30" s="2"/>
      <c r="TZ30" s="2"/>
      <c r="UA30" s="2"/>
      <c r="UB30" s="2"/>
      <c r="UC30" s="2"/>
      <c r="UD30" s="2"/>
      <c r="UE30" s="2"/>
      <c r="UF30" s="2"/>
      <c r="UG30" s="2"/>
      <c r="UH30" s="2"/>
      <c r="UI30" s="2"/>
      <c r="UJ30" s="2"/>
      <c r="UK30" s="2"/>
      <c r="UL30" s="2"/>
      <c r="UM30" s="2"/>
      <c r="UN30" s="2"/>
      <c r="UO30" s="2"/>
      <c r="UP30" s="2"/>
      <c r="UQ30" s="2"/>
      <c r="UR30" s="2"/>
      <c r="US30" s="2"/>
      <c r="UT30" s="2"/>
      <c r="UU30" s="2"/>
      <c r="UV30" s="2"/>
      <c r="UW30" s="2"/>
      <c r="UX30" s="2"/>
      <c r="UY30" s="2"/>
      <c r="UZ30" s="2"/>
      <c r="VA30" s="2"/>
      <c r="VB30" s="2"/>
      <c r="VC30" s="2"/>
      <c r="VD30" s="2"/>
      <c r="VE30" s="2"/>
      <c r="VF30" s="2"/>
      <c r="VG30" s="2"/>
      <c r="VH30" s="2"/>
      <c r="VI30" s="2"/>
      <c r="VJ30" s="2"/>
      <c r="VK30" s="2"/>
      <c r="VL30" s="2"/>
      <c r="VM30" s="2"/>
      <c r="VN30" s="2"/>
      <c r="VO30" s="2"/>
      <c r="VP30" s="2"/>
      <c r="VQ30" s="2"/>
      <c r="VR30" s="2"/>
      <c r="VS30" s="2"/>
      <c r="VT30" s="2"/>
      <c r="VU30" s="2"/>
      <c r="VV30" s="2"/>
      <c r="VW30" s="2"/>
      <c r="VX30" s="2"/>
      <c r="VY30" s="2"/>
      <c r="VZ30" s="2"/>
      <c r="WA30" s="2"/>
      <c r="WB30" s="2"/>
      <c r="WC30" s="2"/>
      <c r="WD30" s="2"/>
      <c r="WE30" s="2"/>
      <c r="WF30" s="2"/>
      <c r="WG30" s="2"/>
      <c r="WH30" s="2"/>
      <c r="WI30" s="2"/>
      <c r="WJ30" s="2"/>
      <c r="WK30" s="2"/>
      <c r="WL30" s="2"/>
      <c r="WM30" s="2"/>
      <c r="WN30" s="2"/>
      <c r="WO30" s="2"/>
      <c r="WP30" s="2"/>
      <c r="WQ30" s="2"/>
      <c r="WR30" s="2"/>
      <c r="WS30" s="2"/>
      <c r="WT30" s="2"/>
      <c r="WU30" s="2"/>
      <c r="WV30" s="2"/>
      <c r="WW30" s="2"/>
      <c r="WX30" s="2"/>
      <c r="WY30" s="2"/>
      <c r="WZ30" s="2"/>
      <c r="XA30" s="2"/>
      <c r="XB30" s="2"/>
      <c r="XC30" s="2"/>
      <c r="XD30" s="2"/>
      <c r="XE30" s="2"/>
      <c r="XF30" s="2"/>
      <c r="XG30" s="2"/>
      <c r="XH30" s="2"/>
      <c r="XI30" s="2"/>
      <c r="XJ30" s="2"/>
      <c r="XK30" s="2"/>
      <c r="XL30" s="2"/>
      <c r="XM30" s="2"/>
      <c r="XN30" s="2"/>
      <c r="XO30" s="2"/>
      <c r="XP30" s="2"/>
      <c r="XQ30" s="2"/>
      <c r="XR30" s="2"/>
      <c r="XS30" s="2"/>
      <c r="XT30" s="2"/>
      <c r="XU30" s="2"/>
      <c r="XV30" s="2"/>
      <c r="XW30" s="2"/>
      <c r="XX30" s="2"/>
      <c r="XY30" s="2"/>
      <c r="XZ30" s="2"/>
      <c r="YA30" s="2"/>
      <c r="YB30" s="2"/>
      <c r="YC30" s="2"/>
      <c r="YD30" s="2"/>
      <c r="YE30" s="2"/>
      <c r="YF30" s="2"/>
      <c r="YG30" s="2"/>
      <c r="YH30" s="2"/>
      <c r="YI30" s="2"/>
      <c r="YJ30" s="2"/>
      <c r="YK30" s="2"/>
      <c r="YL30" s="2"/>
      <c r="YM30" s="2"/>
      <c r="YN30" s="2"/>
      <c r="YO30" s="2"/>
      <c r="YP30" s="2"/>
      <c r="YQ30" s="2"/>
      <c r="YR30" s="2"/>
      <c r="YS30" s="2"/>
      <c r="YT30" s="2"/>
      <c r="YU30" s="2"/>
      <c r="YV30" s="2"/>
      <c r="YW30" s="2"/>
      <c r="YX30" s="2"/>
      <c r="YY30" s="2"/>
      <c r="YZ30" s="2"/>
      <c r="ZA30" s="2"/>
      <c r="ZB30" s="2"/>
      <c r="ZC30" s="2"/>
      <c r="ZD30" s="2"/>
      <c r="ZE30" s="2"/>
      <c r="ZF30" s="2"/>
      <c r="ZG30" s="2"/>
      <c r="ZH30" s="2"/>
      <c r="ZI30" s="2"/>
      <c r="ZJ30" s="2"/>
      <c r="ZK30" s="2"/>
      <c r="ZL30" s="2"/>
      <c r="ZM30" s="2"/>
      <c r="ZN30" s="2"/>
      <c r="ZO30" s="2"/>
      <c r="ZP30" s="2"/>
      <c r="ZQ30" s="2"/>
      <c r="ZR30" s="2"/>
      <c r="ZS30" s="2"/>
      <c r="ZT30" s="2"/>
      <c r="ZU30" s="2"/>
      <c r="ZV30" s="2"/>
      <c r="ZW30" s="2"/>
      <c r="ZX30" s="2"/>
      <c r="ZY30" s="2"/>
      <c r="ZZ30" s="2"/>
      <c r="AAA30" s="2"/>
      <c r="AAB30" s="2"/>
      <c r="AAC30" s="2"/>
      <c r="AAD30" s="2"/>
      <c r="AAE30" s="2"/>
      <c r="AAF30" s="2"/>
      <c r="AAG30" s="2"/>
      <c r="AAH30" s="2"/>
      <c r="AAI30" s="2"/>
      <c r="AAJ30" s="2"/>
      <c r="AAK30" s="2"/>
      <c r="AAL30" s="2"/>
      <c r="AAM30" s="2"/>
      <c r="AAN30" s="2"/>
      <c r="AAO30" s="2"/>
      <c r="AAP30" s="2"/>
      <c r="AAQ30" s="2"/>
      <c r="AAR30" s="2"/>
      <c r="AAS30" s="2"/>
      <c r="AAT30" s="2"/>
      <c r="AAU30" s="2"/>
      <c r="AAV30" s="2"/>
      <c r="AAW30" s="2"/>
      <c r="AAX30" s="2"/>
      <c r="AAY30" s="2"/>
      <c r="AAZ30" s="2"/>
      <c r="ABA30" s="2"/>
      <c r="ABB30" s="2"/>
      <c r="ABC30" s="2"/>
      <c r="ABD30" s="2"/>
      <c r="ABE30" s="2"/>
      <c r="ABF30" s="2"/>
      <c r="ABG30" s="2"/>
      <c r="ABH30" s="2"/>
      <c r="ABI30" s="2"/>
      <c r="ABJ30" s="2"/>
      <c r="ABK30" s="2"/>
      <c r="ABL30" s="2"/>
      <c r="ABM30" s="2"/>
      <c r="ABN30" s="2"/>
      <c r="ABO30" s="2"/>
      <c r="ABP30" s="2"/>
      <c r="ABQ30" s="2"/>
      <c r="ABR30" s="2"/>
      <c r="ABS30" s="2"/>
      <c r="ABT30" s="2"/>
      <c r="ABU30" s="2"/>
      <c r="ABV30" s="2"/>
      <c r="ABW30" s="2"/>
      <c r="ABX30" s="2"/>
      <c r="ABY30" s="2"/>
      <c r="ABZ30" s="2"/>
      <c r="ACA30" s="2"/>
      <c r="ACB30" s="2"/>
      <c r="ACC30" s="2"/>
      <c r="ACD30" s="2"/>
      <c r="ACE30" s="2"/>
      <c r="ACF30" s="2"/>
      <c r="ACG30" s="2"/>
      <c r="ACH30" s="2"/>
      <c r="ACI30" s="2"/>
      <c r="ACJ30" s="2"/>
      <c r="ACK30" s="2"/>
      <c r="ACL30" s="2"/>
      <c r="ACM30" s="2"/>
      <c r="ACN30" s="2"/>
      <c r="ACO30" s="2"/>
      <c r="ACP30" s="2"/>
      <c r="ACQ30" s="2"/>
      <c r="ACR30" s="2"/>
      <c r="ACS30" s="2"/>
      <c r="ACT30" s="2"/>
      <c r="ACU30" s="2"/>
      <c r="ACV30" s="2"/>
      <c r="ACW30" s="2"/>
      <c r="ACX30" s="2"/>
      <c r="ACY30" s="2"/>
      <c r="ACZ30" s="2"/>
      <c r="ADA30" s="2"/>
      <c r="ADB30" s="2"/>
      <c r="ADC30" s="2"/>
      <c r="ADD30" s="2"/>
      <c r="ADE30" s="2"/>
      <c r="ADF30" s="2"/>
      <c r="ADG30" s="2"/>
      <c r="ADH30" s="2"/>
      <c r="ADI30" s="2"/>
      <c r="ADJ30" s="2"/>
      <c r="ADK30" s="2"/>
      <c r="ADL30" s="2"/>
      <c r="ADM30" s="2"/>
      <c r="ADN30" s="2"/>
      <c r="ADO30" s="2"/>
      <c r="ADP30" s="2"/>
      <c r="ADQ30" s="2"/>
      <c r="ADR30" s="2"/>
      <c r="ADS30" s="2"/>
      <c r="ADT30" s="2"/>
      <c r="ADU30" s="2"/>
      <c r="ADV30" s="2"/>
      <c r="ADW30" s="2"/>
      <c r="ADX30" s="2"/>
      <c r="ADY30" s="2"/>
      <c r="ADZ30" s="2"/>
      <c r="AEA30" s="2"/>
      <c r="AEB30" s="2"/>
      <c r="AEC30" s="2"/>
      <c r="AED30" s="2"/>
      <c r="AEE30" s="2"/>
      <c r="AEF30" s="2"/>
      <c r="AEG30" s="2"/>
      <c r="AEH30" s="2"/>
      <c r="AEI30" s="2"/>
      <c r="AEJ30" s="2"/>
      <c r="AEK30" s="2"/>
      <c r="AEL30" s="2"/>
      <c r="AEM30" s="2"/>
      <c r="AEN30" s="2"/>
      <c r="AEO30" s="2"/>
      <c r="AEP30" s="2"/>
      <c r="AEQ30" s="2"/>
      <c r="AER30" s="2"/>
      <c r="AES30" s="2"/>
      <c r="AET30" s="2"/>
      <c r="AEU30" s="2"/>
      <c r="AEV30" s="2"/>
      <c r="AEW30" s="2"/>
      <c r="AEX30" s="2"/>
      <c r="AEY30" s="2"/>
      <c r="AEZ30" s="2"/>
      <c r="AFA30" s="2"/>
      <c r="AFB30" s="2"/>
      <c r="AFC30" s="2"/>
      <c r="AFD30" s="2"/>
      <c r="AFE30" s="2"/>
      <c r="AFF30" s="2"/>
      <c r="AFG30" s="2"/>
      <c r="AFH30" s="2"/>
      <c r="AFI30" s="2"/>
      <c r="AFJ30" s="2"/>
      <c r="AFK30" s="2"/>
      <c r="AFL30" s="2"/>
      <c r="AFM30" s="2"/>
      <c r="AFN30" s="2"/>
      <c r="AFO30" s="2"/>
      <c r="AFP30" s="2"/>
      <c r="AFQ30" s="2"/>
      <c r="AFR30" s="2"/>
      <c r="AFS30" s="2"/>
      <c r="AFT30" s="2"/>
      <c r="AFU30" s="2"/>
      <c r="AFV30" s="2"/>
      <c r="AFW30" s="2"/>
      <c r="AFX30" s="2"/>
      <c r="AFY30" s="2"/>
      <c r="AFZ30" s="2"/>
      <c r="AGA30" s="2"/>
      <c r="AGB30" s="2"/>
      <c r="AGC30" s="2"/>
      <c r="AGD30" s="2"/>
      <c r="AGE30" s="2"/>
      <c r="AGF30" s="2"/>
      <c r="AGG30" s="2"/>
      <c r="AGH30" s="2"/>
      <c r="AGI30" s="2"/>
      <c r="AGJ30" s="2"/>
      <c r="AGK30" s="2"/>
      <c r="AGL30" s="2"/>
      <c r="AGM30" s="2"/>
      <c r="AGN30" s="2"/>
      <c r="AGO30" s="2"/>
      <c r="AGP30" s="2"/>
      <c r="AGQ30" s="2"/>
      <c r="AGR30" s="2"/>
      <c r="AGS30" s="2"/>
      <c r="AGT30" s="2"/>
      <c r="AGU30" s="2"/>
      <c r="AGV30" s="2"/>
      <c r="AGW30" s="2"/>
      <c r="AGX30" s="2"/>
      <c r="AGY30" s="2"/>
      <c r="AGZ30" s="2"/>
      <c r="AHA30" s="2"/>
      <c r="AHB30" s="2"/>
      <c r="AHC30" s="2"/>
      <c r="AHD30" s="2"/>
      <c r="AHE30" s="2"/>
      <c r="AHF30" s="2"/>
      <c r="AHG30" s="2"/>
      <c r="AHH30" s="2"/>
      <c r="AHI30" s="2"/>
      <c r="AHJ30" s="2"/>
      <c r="AHK30" s="2"/>
      <c r="AHL30" s="2"/>
      <c r="AHM30" s="2"/>
      <c r="AHN30" s="2"/>
      <c r="AHO30" s="2"/>
      <c r="AHP30" s="2"/>
      <c r="AHQ30" s="2"/>
      <c r="AHR30" s="2"/>
      <c r="AHS30" s="2"/>
      <c r="AHT30" s="2"/>
      <c r="AHU30" s="2"/>
      <c r="AHV30" s="2"/>
      <c r="AHW30" s="2"/>
      <c r="AHX30" s="2"/>
      <c r="AHY30" s="2"/>
      <c r="AHZ30" s="2"/>
      <c r="AIA30" s="2"/>
      <c r="AIB30" s="2"/>
      <c r="AIC30" s="2"/>
      <c r="AID30" s="2"/>
      <c r="AIE30" s="2"/>
      <c r="AIF30" s="2"/>
      <c r="AIG30" s="2"/>
      <c r="AIH30" s="2"/>
      <c r="AII30" s="2"/>
      <c r="AIJ30" s="2"/>
      <c r="AIK30" s="2"/>
      <c r="AIL30" s="2"/>
      <c r="AIM30" s="2"/>
      <c r="AIN30" s="2"/>
      <c r="AIO30" s="2"/>
      <c r="AIP30" s="2"/>
      <c r="AIQ30" s="2"/>
      <c r="AIR30" s="2"/>
      <c r="AIS30" s="2"/>
      <c r="AIT30" s="2"/>
      <c r="AIU30" s="2"/>
      <c r="AIV30" s="2"/>
      <c r="AIW30" s="2"/>
      <c r="AIX30" s="2"/>
      <c r="AIY30" s="2"/>
      <c r="AIZ30" s="2"/>
      <c r="AJA30" s="2"/>
      <c r="AJB30" s="2"/>
      <c r="AJC30" s="2"/>
      <c r="AJD30" s="2"/>
      <c r="AJE30" s="2"/>
      <c r="AJF30" s="2"/>
      <c r="AJG30" s="2"/>
      <c r="AJH30" s="2"/>
      <c r="AJI30" s="2"/>
      <c r="AJJ30" s="2"/>
      <c r="AJK30" s="2"/>
      <c r="AJL30" s="2"/>
      <c r="AJM30" s="2"/>
      <c r="AJN30" s="2"/>
      <c r="AJO30" s="2"/>
      <c r="AJP30" s="2"/>
      <c r="AJQ30" s="2"/>
      <c r="AJR30" s="2"/>
      <c r="AJS30" s="2"/>
      <c r="AJT30" s="2"/>
      <c r="AJU30" s="2"/>
      <c r="AJV30" s="2"/>
      <c r="AJW30" s="2"/>
      <c r="AJX30" s="2"/>
      <c r="AJY30" s="2"/>
      <c r="AJZ30" s="2"/>
    </row>
    <row r="31" spans="1:962">
      <c r="A31" s="16">
        <v>30</v>
      </c>
      <c r="B31" s="8">
        <v>2</v>
      </c>
      <c r="C31" s="9">
        <v>7.56</v>
      </c>
      <c r="D31" s="9">
        <v>15.58</v>
      </c>
      <c r="E31" s="9">
        <v>1.27</v>
      </c>
      <c r="F31" s="9">
        <v>0.34</v>
      </c>
      <c r="G31" s="9">
        <v>600</v>
      </c>
      <c r="H31" s="17">
        <v>2</v>
      </c>
      <c r="I31" s="9">
        <f t="shared" si="0"/>
        <v>12.26771653543307</v>
      </c>
      <c r="J31" s="9">
        <f t="shared" si="1"/>
        <v>0.26771653543307089</v>
      </c>
      <c r="K31" s="9">
        <f t="shared" si="2"/>
        <v>472.44094488188978</v>
      </c>
      <c r="L31" s="9">
        <f t="shared" si="3"/>
        <v>7360.6299212598424</v>
      </c>
      <c r="M31" s="8">
        <v>12</v>
      </c>
      <c r="N31" s="9" t="s">
        <v>26</v>
      </c>
      <c r="O31" s="9">
        <v>4.3</v>
      </c>
      <c r="P31" s="9">
        <v>7.56</v>
      </c>
      <c r="Q31" s="9">
        <v>15.58</v>
      </c>
      <c r="R31" s="9">
        <v>1.27</v>
      </c>
      <c r="S31" s="9">
        <v>0.34</v>
      </c>
      <c r="T31" s="9">
        <v>0.36</v>
      </c>
      <c r="U31" s="9">
        <v>0</v>
      </c>
      <c r="V31" s="9">
        <v>0.01</v>
      </c>
      <c r="W31" s="9">
        <v>6.36</v>
      </c>
      <c r="X31" s="20">
        <v>84</v>
      </c>
      <c r="Y31" s="9">
        <v>0.28000000000000003</v>
      </c>
      <c r="Z31" s="9">
        <v>600</v>
      </c>
      <c r="AA31" s="9">
        <v>0.1</v>
      </c>
      <c r="AB31" s="24">
        <v>8.9999999999999993E-3</v>
      </c>
      <c r="AC31" s="9">
        <v>155.9</v>
      </c>
      <c r="AD31" s="9">
        <v>5.4</v>
      </c>
      <c r="AE31" s="9">
        <v>122.8</v>
      </c>
      <c r="AF31" s="9">
        <v>2.58</v>
      </c>
      <c r="AG31" s="9">
        <v>1.54</v>
      </c>
      <c r="AH31" s="9">
        <v>23.48</v>
      </c>
      <c r="AI31" s="9">
        <v>246.24</v>
      </c>
      <c r="AJ31" s="9">
        <v>10.9</v>
      </c>
      <c r="AK31" s="9">
        <v>53.9</v>
      </c>
      <c r="AL31" s="9">
        <v>78.989999999999995</v>
      </c>
      <c r="AM31" s="9">
        <v>25.81</v>
      </c>
      <c r="AN31" s="24">
        <v>1.02</v>
      </c>
      <c r="AO31" s="9">
        <v>1.1200000000000001</v>
      </c>
      <c r="AP31" s="16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  <c r="JC31" s="2"/>
      <c r="JD31" s="2"/>
      <c r="JE31" s="2"/>
      <c r="JF31" s="2"/>
      <c r="JG31" s="2"/>
      <c r="JH31" s="2"/>
      <c r="JI31" s="2"/>
      <c r="JJ31" s="2"/>
      <c r="JK31" s="2"/>
      <c r="JL31" s="2"/>
      <c r="JM31" s="2"/>
      <c r="JN31" s="2"/>
      <c r="JO31" s="2"/>
      <c r="JP31" s="2"/>
      <c r="JQ31" s="2"/>
      <c r="JR31" s="2"/>
      <c r="JS31" s="2"/>
      <c r="JT31" s="2"/>
      <c r="JU31" s="2"/>
      <c r="JV31" s="2"/>
      <c r="JW31" s="2"/>
      <c r="JX31" s="2"/>
      <c r="JY31" s="2"/>
      <c r="JZ31" s="2"/>
      <c r="KA31" s="2"/>
      <c r="KB31" s="2"/>
      <c r="KC31" s="2"/>
      <c r="KD31" s="2"/>
      <c r="KE31" s="2"/>
      <c r="KF31" s="2"/>
      <c r="KG31" s="2"/>
      <c r="KH31" s="2"/>
      <c r="KI31" s="2"/>
      <c r="KJ31" s="2"/>
      <c r="KK31" s="2"/>
      <c r="KL31" s="2"/>
      <c r="KM31" s="2"/>
      <c r="KN31" s="2"/>
      <c r="KO31" s="2"/>
      <c r="KP31" s="2"/>
      <c r="KQ31" s="2"/>
      <c r="KR31" s="2"/>
      <c r="KS31" s="2"/>
      <c r="KT31" s="2"/>
      <c r="KU31" s="2"/>
      <c r="KV31" s="2"/>
      <c r="KW31" s="2"/>
      <c r="KX31" s="2"/>
      <c r="KY31" s="2"/>
      <c r="KZ31" s="2"/>
      <c r="LA31" s="2"/>
      <c r="LB31" s="2"/>
      <c r="LC31" s="2"/>
      <c r="LD31" s="2"/>
      <c r="LE31" s="2"/>
      <c r="LF31" s="2"/>
      <c r="LG31" s="2"/>
      <c r="LH31" s="2"/>
      <c r="LI31" s="2"/>
      <c r="LJ31" s="2"/>
      <c r="LK31" s="2"/>
      <c r="LL31" s="2"/>
      <c r="LM31" s="2"/>
      <c r="LN31" s="2"/>
      <c r="LO31" s="2"/>
      <c r="LP31" s="2"/>
      <c r="LQ31" s="2"/>
      <c r="LR31" s="2"/>
      <c r="LS31" s="2"/>
      <c r="LT31" s="2"/>
      <c r="LU31" s="2"/>
      <c r="LV31" s="2"/>
      <c r="LW31" s="2"/>
      <c r="LX31" s="2"/>
      <c r="LY31" s="2"/>
      <c r="LZ31" s="2"/>
      <c r="MA31" s="2"/>
      <c r="MB31" s="2"/>
      <c r="MC31" s="2"/>
      <c r="MD31" s="2"/>
      <c r="ME31" s="2"/>
      <c r="MF31" s="2"/>
      <c r="MG31" s="2"/>
      <c r="MH31" s="2"/>
      <c r="MI31" s="2"/>
      <c r="MJ31" s="2"/>
      <c r="MK31" s="2"/>
      <c r="ML31" s="2"/>
      <c r="MM31" s="2"/>
      <c r="MN31" s="2"/>
      <c r="MO31" s="2"/>
      <c r="MP31" s="2"/>
      <c r="MQ31" s="2"/>
      <c r="MR31" s="2"/>
      <c r="MS31" s="2"/>
      <c r="MT31" s="2"/>
      <c r="MU31" s="2"/>
      <c r="MV31" s="2"/>
      <c r="MW31" s="2"/>
      <c r="MX31" s="2"/>
      <c r="MY31" s="2"/>
      <c r="MZ31" s="2"/>
      <c r="NA31" s="2"/>
      <c r="NB31" s="2"/>
      <c r="NC31" s="2"/>
      <c r="ND31" s="2"/>
      <c r="NE31" s="2"/>
      <c r="NF31" s="2"/>
      <c r="NG31" s="2"/>
      <c r="NH31" s="2"/>
      <c r="NI31" s="2"/>
      <c r="NJ31" s="2"/>
      <c r="NK31" s="2"/>
      <c r="NL31" s="2"/>
      <c r="NM31" s="2"/>
      <c r="NN31" s="2"/>
      <c r="NO31" s="2"/>
      <c r="NP31" s="2"/>
      <c r="NQ31" s="2"/>
      <c r="NR31" s="2"/>
      <c r="NS31" s="2"/>
      <c r="NT31" s="2"/>
      <c r="NU31" s="2"/>
      <c r="NV31" s="2"/>
      <c r="NW31" s="2"/>
      <c r="NX31" s="2"/>
      <c r="NY31" s="2"/>
      <c r="NZ31" s="2"/>
      <c r="OA31" s="2"/>
      <c r="OB31" s="2"/>
      <c r="OC31" s="2"/>
      <c r="OD31" s="2"/>
      <c r="OE31" s="2"/>
      <c r="OF31" s="2"/>
      <c r="OG31" s="2"/>
      <c r="OH31" s="2"/>
      <c r="OI31" s="2"/>
      <c r="OJ31" s="2"/>
      <c r="OK31" s="2"/>
      <c r="OL31" s="2"/>
      <c r="OM31" s="2"/>
      <c r="ON31" s="2"/>
      <c r="OO31" s="2"/>
      <c r="OP31" s="2"/>
      <c r="OQ31" s="2"/>
      <c r="OR31" s="2"/>
      <c r="OS31" s="2"/>
      <c r="OT31" s="2"/>
      <c r="OU31" s="2"/>
      <c r="OV31" s="2"/>
      <c r="OW31" s="2"/>
      <c r="OX31" s="2"/>
      <c r="OY31" s="2"/>
      <c r="OZ31" s="2"/>
      <c r="PA31" s="2"/>
      <c r="PB31" s="2"/>
      <c r="PC31" s="2"/>
      <c r="PD31" s="2"/>
      <c r="PE31" s="2"/>
      <c r="PF31" s="2"/>
      <c r="PG31" s="2"/>
      <c r="PH31" s="2"/>
      <c r="PI31" s="2"/>
      <c r="PJ31" s="2"/>
      <c r="PK31" s="2"/>
      <c r="PL31" s="2"/>
      <c r="PM31" s="2"/>
      <c r="PN31" s="2"/>
      <c r="PO31" s="2"/>
      <c r="PP31" s="2"/>
      <c r="PQ31" s="2"/>
      <c r="PR31" s="2"/>
      <c r="PS31" s="2"/>
      <c r="PT31" s="2"/>
      <c r="PU31" s="2"/>
      <c r="PV31" s="2"/>
      <c r="PW31" s="2"/>
      <c r="PX31" s="2"/>
      <c r="PY31" s="2"/>
      <c r="PZ31" s="2"/>
      <c r="QA31" s="2"/>
      <c r="QB31" s="2"/>
      <c r="QC31" s="2"/>
      <c r="QD31" s="2"/>
      <c r="QE31" s="2"/>
      <c r="QF31" s="2"/>
      <c r="QG31" s="2"/>
      <c r="QH31" s="2"/>
      <c r="QI31" s="2"/>
      <c r="QJ31" s="2"/>
      <c r="QK31" s="2"/>
      <c r="QL31" s="2"/>
      <c r="QM31" s="2"/>
      <c r="QN31" s="2"/>
      <c r="QO31" s="2"/>
      <c r="QP31" s="2"/>
      <c r="QQ31" s="2"/>
      <c r="QR31" s="2"/>
      <c r="QS31" s="2"/>
      <c r="QT31" s="2"/>
      <c r="QU31" s="2"/>
      <c r="QV31" s="2"/>
      <c r="QW31" s="2"/>
      <c r="QX31" s="2"/>
      <c r="QY31" s="2"/>
      <c r="QZ31" s="2"/>
      <c r="RA31" s="2"/>
      <c r="RB31" s="2"/>
      <c r="RC31" s="2"/>
      <c r="RD31" s="2"/>
      <c r="RE31" s="2"/>
      <c r="RF31" s="2"/>
      <c r="RG31" s="2"/>
      <c r="RH31" s="2"/>
      <c r="RI31" s="2"/>
      <c r="RJ31" s="2"/>
      <c r="RK31" s="2"/>
      <c r="RL31" s="2"/>
      <c r="RM31" s="2"/>
      <c r="RN31" s="2"/>
      <c r="RO31" s="2"/>
      <c r="RP31" s="2"/>
      <c r="RQ31" s="2"/>
      <c r="RR31" s="2"/>
      <c r="RS31" s="2"/>
      <c r="RT31" s="2"/>
      <c r="RU31" s="2"/>
      <c r="RV31" s="2"/>
      <c r="RW31" s="2"/>
      <c r="RX31" s="2"/>
      <c r="RY31" s="2"/>
      <c r="RZ31" s="2"/>
      <c r="SA31" s="2"/>
      <c r="SB31" s="2"/>
      <c r="SC31" s="2"/>
      <c r="SD31" s="2"/>
      <c r="SE31" s="2"/>
      <c r="SF31" s="2"/>
      <c r="SG31" s="2"/>
      <c r="SH31" s="2"/>
      <c r="SI31" s="2"/>
      <c r="SJ31" s="2"/>
      <c r="SK31" s="2"/>
      <c r="SL31" s="2"/>
      <c r="SM31" s="2"/>
      <c r="SN31" s="2"/>
      <c r="SO31" s="2"/>
      <c r="SP31" s="2"/>
      <c r="SQ31" s="2"/>
      <c r="SR31" s="2"/>
      <c r="SS31" s="2"/>
      <c r="ST31" s="2"/>
      <c r="SU31" s="2"/>
      <c r="SV31" s="2"/>
      <c r="SW31" s="2"/>
      <c r="SX31" s="2"/>
      <c r="SY31" s="2"/>
      <c r="SZ31" s="2"/>
      <c r="TA31" s="2"/>
      <c r="TB31" s="2"/>
      <c r="TC31" s="2"/>
      <c r="TD31" s="2"/>
      <c r="TE31" s="2"/>
      <c r="TF31" s="2"/>
      <c r="TG31" s="2"/>
      <c r="TH31" s="2"/>
      <c r="TI31" s="2"/>
      <c r="TJ31" s="2"/>
      <c r="TK31" s="2"/>
      <c r="TL31" s="2"/>
      <c r="TM31" s="2"/>
      <c r="TN31" s="2"/>
      <c r="TO31" s="2"/>
      <c r="TP31" s="2"/>
      <c r="TQ31" s="2"/>
      <c r="TR31" s="2"/>
      <c r="TS31" s="2"/>
      <c r="TT31" s="2"/>
      <c r="TU31" s="2"/>
      <c r="TV31" s="2"/>
      <c r="TW31" s="2"/>
      <c r="TX31" s="2"/>
      <c r="TY31" s="2"/>
      <c r="TZ31" s="2"/>
      <c r="UA31" s="2"/>
      <c r="UB31" s="2"/>
      <c r="UC31" s="2"/>
      <c r="UD31" s="2"/>
      <c r="UE31" s="2"/>
      <c r="UF31" s="2"/>
      <c r="UG31" s="2"/>
      <c r="UH31" s="2"/>
      <c r="UI31" s="2"/>
      <c r="UJ31" s="2"/>
      <c r="UK31" s="2"/>
      <c r="UL31" s="2"/>
      <c r="UM31" s="2"/>
      <c r="UN31" s="2"/>
      <c r="UO31" s="2"/>
      <c r="UP31" s="2"/>
      <c r="UQ31" s="2"/>
      <c r="UR31" s="2"/>
      <c r="US31" s="2"/>
      <c r="UT31" s="2"/>
      <c r="UU31" s="2"/>
      <c r="UV31" s="2"/>
      <c r="UW31" s="2"/>
      <c r="UX31" s="2"/>
      <c r="UY31" s="2"/>
      <c r="UZ31" s="2"/>
      <c r="VA31" s="2"/>
      <c r="VB31" s="2"/>
      <c r="VC31" s="2"/>
      <c r="VD31" s="2"/>
      <c r="VE31" s="2"/>
      <c r="VF31" s="2"/>
      <c r="VG31" s="2"/>
      <c r="VH31" s="2"/>
      <c r="VI31" s="2"/>
      <c r="VJ31" s="2"/>
      <c r="VK31" s="2"/>
      <c r="VL31" s="2"/>
      <c r="VM31" s="2"/>
      <c r="VN31" s="2"/>
      <c r="VO31" s="2"/>
      <c r="VP31" s="2"/>
      <c r="VQ31" s="2"/>
      <c r="VR31" s="2"/>
      <c r="VS31" s="2"/>
      <c r="VT31" s="2"/>
      <c r="VU31" s="2"/>
      <c r="VV31" s="2"/>
      <c r="VW31" s="2"/>
      <c r="VX31" s="2"/>
      <c r="VY31" s="2"/>
      <c r="VZ31" s="2"/>
      <c r="WA31" s="2"/>
      <c r="WB31" s="2"/>
      <c r="WC31" s="2"/>
      <c r="WD31" s="2"/>
      <c r="WE31" s="2"/>
      <c r="WF31" s="2"/>
      <c r="WG31" s="2"/>
      <c r="WH31" s="2"/>
      <c r="WI31" s="2"/>
      <c r="WJ31" s="2"/>
      <c r="WK31" s="2"/>
      <c r="WL31" s="2"/>
      <c r="WM31" s="2"/>
      <c r="WN31" s="2"/>
      <c r="WO31" s="2"/>
      <c r="WP31" s="2"/>
      <c r="WQ31" s="2"/>
      <c r="WR31" s="2"/>
      <c r="WS31" s="2"/>
      <c r="WT31" s="2"/>
      <c r="WU31" s="2"/>
      <c r="WV31" s="2"/>
      <c r="WW31" s="2"/>
      <c r="WX31" s="2"/>
      <c r="WY31" s="2"/>
      <c r="WZ31" s="2"/>
      <c r="XA31" s="2"/>
      <c r="XB31" s="2"/>
      <c r="XC31" s="2"/>
      <c r="XD31" s="2"/>
      <c r="XE31" s="2"/>
      <c r="XF31" s="2"/>
      <c r="XG31" s="2"/>
      <c r="XH31" s="2"/>
      <c r="XI31" s="2"/>
      <c r="XJ31" s="2"/>
      <c r="XK31" s="2"/>
      <c r="XL31" s="2"/>
      <c r="XM31" s="2"/>
      <c r="XN31" s="2"/>
      <c r="XO31" s="2"/>
      <c r="XP31" s="2"/>
      <c r="XQ31" s="2"/>
      <c r="XR31" s="2"/>
      <c r="XS31" s="2"/>
      <c r="XT31" s="2"/>
      <c r="XU31" s="2"/>
      <c r="XV31" s="2"/>
      <c r="XW31" s="2"/>
      <c r="XX31" s="2"/>
      <c r="XY31" s="2"/>
      <c r="XZ31" s="2"/>
      <c r="YA31" s="2"/>
      <c r="YB31" s="2"/>
      <c r="YC31" s="2"/>
      <c r="YD31" s="2"/>
      <c r="YE31" s="2"/>
      <c r="YF31" s="2"/>
      <c r="YG31" s="2"/>
      <c r="YH31" s="2"/>
      <c r="YI31" s="2"/>
      <c r="YJ31" s="2"/>
      <c r="YK31" s="2"/>
      <c r="YL31" s="2"/>
      <c r="YM31" s="2"/>
      <c r="YN31" s="2"/>
      <c r="YO31" s="2"/>
      <c r="YP31" s="2"/>
      <c r="YQ31" s="2"/>
      <c r="YR31" s="2"/>
      <c r="YS31" s="2"/>
      <c r="YT31" s="2"/>
      <c r="YU31" s="2"/>
      <c r="YV31" s="2"/>
      <c r="YW31" s="2"/>
      <c r="YX31" s="2"/>
      <c r="YY31" s="2"/>
      <c r="YZ31" s="2"/>
      <c r="ZA31" s="2"/>
      <c r="ZB31" s="2"/>
      <c r="ZC31" s="2"/>
      <c r="ZD31" s="2"/>
      <c r="ZE31" s="2"/>
      <c r="ZF31" s="2"/>
      <c r="ZG31" s="2"/>
      <c r="ZH31" s="2"/>
      <c r="ZI31" s="2"/>
      <c r="ZJ31" s="2"/>
      <c r="ZK31" s="2"/>
      <c r="ZL31" s="2"/>
      <c r="ZM31" s="2"/>
      <c r="ZN31" s="2"/>
      <c r="ZO31" s="2"/>
      <c r="ZP31" s="2"/>
      <c r="ZQ31" s="2"/>
      <c r="ZR31" s="2"/>
      <c r="ZS31" s="2"/>
      <c r="ZT31" s="2"/>
      <c r="ZU31" s="2"/>
      <c r="ZV31" s="2"/>
      <c r="ZW31" s="2"/>
      <c r="ZX31" s="2"/>
      <c r="ZY31" s="2"/>
      <c r="ZZ31" s="2"/>
      <c r="AAA31" s="2"/>
      <c r="AAB31" s="2"/>
      <c r="AAC31" s="2"/>
      <c r="AAD31" s="2"/>
      <c r="AAE31" s="2"/>
      <c r="AAF31" s="2"/>
      <c r="AAG31" s="2"/>
      <c r="AAH31" s="2"/>
      <c r="AAI31" s="2"/>
      <c r="AAJ31" s="2"/>
      <c r="AAK31" s="2"/>
      <c r="AAL31" s="2"/>
      <c r="AAM31" s="2"/>
      <c r="AAN31" s="2"/>
      <c r="AAO31" s="2"/>
      <c r="AAP31" s="2"/>
      <c r="AAQ31" s="2"/>
      <c r="AAR31" s="2"/>
      <c r="AAS31" s="2"/>
      <c r="AAT31" s="2"/>
      <c r="AAU31" s="2"/>
      <c r="AAV31" s="2"/>
      <c r="AAW31" s="2"/>
      <c r="AAX31" s="2"/>
      <c r="AAY31" s="2"/>
      <c r="AAZ31" s="2"/>
      <c r="ABA31" s="2"/>
      <c r="ABB31" s="2"/>
      <c r="ABC31" s="2"/>
      <c r="ABD31" s="2"/>
      <c r="ABE31" s="2"/>
      <c r="ABF31" s="2"/>
      <c r="ABG31" s="2"/>
      <c r="ABH31" s="2"/>
      <c r="ABI31" s="2"/>
      <c r="ABJ31" s="2"/>
      <c r="ABK31" s="2"/>
      <c r="ABL31" s="2"/>
      <c r="ABM31" s="2"/>
      <c r="ABN31" s="2"/>
      <c r="ABO31" s="2"/>
      <c r="ABP31" s="2"/>
      <c r="ABQ31" s="2"/>
      <c r="ABR31" s="2"/>
      <c r="ABS31" s="2"/>
      <c r="ABT31" s="2"/>
      <c r="ABU31" s="2"/>
      <c r="ABV31" s="2"/>
      <c r="ABW31" s="2"/>
      <c r="ABX31" s="2"/>
      <c r="ABY31" s="2"/>
      <c r="ABZ31" s="2"/>
      <c r="ACA31" s="2"/>
      <c r="ACB31" s="2"/>
      <c r="ACC31" s="2"/>
      <c r="ACD31" s="2"/>
      <c r="ACE31" s="2"/>
      <c r="ACF31" s="2"/>
      <c r="ACG31" s="2"/>
      <c r="ACH31" s="2"/>
      <c r="ACI31" s="2"/>
      <c r="ACJ31" s="2"/>
      <c r="ACK31" s="2"/>
      <c r="ACL31" s="2"/>
      <c r="ACM31" s="2"/>
      <c r="ACN31" s="2"/>
      <c r="ACO31" s="2"/>
      <c r="ACP31" s="2"/>
      <c r="ACQ31" s="2"/>
      <c r="ACR31" s="2"/>
      <c r="ACS31" s="2"/>
      <c r="ACT31" s="2"/>
      <c r="ACU31" s="2"/>
      <c r="ACV31" s="2"/>
      <c r="ACW31" s="2"/>
      <c r="ACX31" s="2"/>
      <c r="ACY31" s="2"/>
      <c r="ACZ31" s="2"/>
      <c r="ADA31" s="2"/>
      <c r="ADB31" s="2"/>
      <c r="ADC31" s="2"/>
      <c r="ADD31" s="2"/>
      <c r="ADE31" s="2"/>
      <c r="ADF31" s="2"/>
      <c r="ADG31" s="2"/>
      <c r="ADH31" s="2"/>
      <c r="ADI31" s="2"/>
      <c r="ADJ31" s="2"/>
      <c r="ADK31" s="2"/>
      <c r="ADL31" s="2"/>
      <c r="ADM31" s="2"/>
      <c r="ADN31" s="2"/>
      <c r="ADO31" s="2"/>
      <c r="ADP31" s="2"/>
      <c r="ADQ31" s="2"/>
      <c r="ADR31" s="2"/>
      <c r="ADS31" s="2"/>
      <c r="ADT31" s="2"/>
      <c r="ADU31" s="2"/>
      <c r="ADV31" s="2"/>
      <c r="ADW31" s="2"/>
      <c r="ADX31" s="2"/>
      <c r="ADY31" s="2"/>
      <c r="ADZ31" s="2"/>
      <c r="AEA31" s="2"/>
      <c r="AEB31" s="2"/>
      <c r="AEC31" s="2"/>
      <c r="AED31" s="2"/>
      <c r="AEE31" s="2"/>
      <c r="AEF31" s="2"/>
      <c r="AEG31" s="2"/>
      <c r="AEH31" s="2"/>
      <c r="AEI31" s="2"/>
      <c r="AEJ31" s="2"/>
      <c r="AEK31" s="2"/>
      <c r="AEL31" s="2"/>
      <c r="AEM31" s="2"/>
      <c r="AEN31" s="2"/>
      <c r="AEO31" s="2"/>
      <c r="AEP31" s="2"/>
      <c r="AEQ31" s="2"/>
      <c r="AER31" s="2"/>
      <c r="AES31" s="2"/>
      <c r="AET31" s="2"/>
      <c r="AEU31" s="2"/>
      <c r="AEV31" s="2"/>
      <c r="AEW31" s="2"/>
      <c r="AEX31" s="2"/>
      <c r="AEY31" s="2"/>
      <c r="AEZ31" s="2"/>
      <c r="AFA31" s="2"/>
      <c r="AFB31" s="2"/>
      <c r="AFC31" s="2"/>
      <c r="AFD31" s="2"/>
      <c r="AFE31" s="2"/>
      <c r="AFF31" s="2"/>
      <c r="AFG31" s="2"/>
      <c r="AFH31" s="2"/>
      <c r="AFI31" s="2"/>
      <c r="AFJ31" s="2"/>
      <c r="AFK31" s="2"/>
      <c r="AFL31" s="2"/>
      <c r="AFM31" s="2"/>
      <c r="AFN31" s="2"/>
      <c r="AFO31" s="2"/>
      <c r="AFP31" s="2"/>
      <c r="AFQ31" s="2"/>
      <c r="AFR31" s="2"/>
      <c r="AFS31" s="2"/>
      <c r="AFT31" s="2"/>
      <c r="AFU31" s="2"/>
      <c r="AFV31" s="2"/>
      <c r="AFW31" s="2"/>
      <c r="AFX31" s="2"/>
      <c r="AFY31" s="2"/>
      <c r="AFZ31" s="2"/>
      <c r="AGA31" s="2"/>
      <c r="AGB31" s="2"/>
      <c r="AGC31" s="2"/>
      <c r="AGD31" s="2"/>
      <c r="AGE31" s="2"/>
      <c r="AGF31" s="2"/>
      <c r="AGG31" s="2"/>
      <c r="AGH31" s="2"/>
      <c r="AGI31" s="2"/>
      <c r="AGJ31" s="2"/>
      <c r="AGK31" s="2"/>
      <c r="AGL31" s="2"/>
      <c r="AGM31" s="2"/>
      <c r="AGN31" s="2"/>
      <c r="AGO31" s="2"/>
      <c r="AGP31" s="2"/>
      <c r="AGQ31" s="2"/>
      <c r="AGR31" s="2"/>
      <c r="AGS31" s="2"/>
      <c r="AGT31" s="2"/>
      <c r="AGU31" s="2"/>
      <c r="AGV31" s="2"/>
      <c r="AGW31" s="2"/>
      <c r="AGX31" s="2"/>
      <c r="AGY31" s="2"/>
      <c r="AGZ31" s="2"/>
      <c r="AHA31" s="2"/>
      <c r="AHB31" s="2"/>
      <c r="AHC31" s="2"/>
      <c r="AHD31" s="2"/>
      <c r="AHE31" s="2"/>
      <c r="AHF31" s="2"/>
      <c r="AHG31" s="2"/>
      <c r="AHH31" s="2"/>
      <c r="AHI31" s="2"/>
      <c r="AHJ31" s="2"/>
      <c r="AHK31" s="2"/>
      <c r="AHL31" s="2"/>
      <c r="AHM31" s="2"/>
      <c r="AHN31" s="2"/>
      <c r="AHO31" s="2"/>
      <c r="AHP31" s="2"/>
      <c r="AHQ31" s="2"/>
      <c r="AHR31" s="2"/>
      <c r="AHS31" s="2"/>
      <c r="AHT31" s="2"/>
      <c r="AHU31" s="2"/>
      <c r="AHV31" s="2"/>
      <c r="AHW31" s="2"/>
      <c r="AHX31" s="2"/>
      <c r="AHY31" s="2"/>
      <c r="AHZ31" s="2"/>
      <c r="AIA31" s="2"/>
      <c r="AIB31" s="2"/>
      <c r="AIC31" s="2"/>
      <c r="AID31" s="2"/>
      <c r="AIE31" s="2"/>
      <c r="AIF31" s="2"/>
      <c r="AIG31" s="2"/>
      <c r="AIH31" s="2"/>
      <c r="AII31" s="2"/>
      <c r="AIJ31" s="2"/>
      <c r="AIK31" s="2"/>
      <c r="AIL31" s="2"/>
      <c r="AIM31" s="2"/>
      <c r="AIN31" s="2"/>
      <c r="AIO31" s="2"/>
      <c r="AIP31" s="2"/>
      <c r="AIQ31" s="2"/>
      <c r="AIR31" s="2"/>
      <c r="AIS31" s="2"/>
      <c r="AIT31" s="2"/>
      <c r="AIU31" s="2"/>
      <c r="AIV31" s="2"/>
      <c r="AIW31" s="2"/>
      <c r="AIX31" s="2"/>
      <c r="AIY31" s="2"/>
      <c r="AIZ31" s="2"/>
      <c r="AJA31" s="2"/>
      <c r="AJB31" s="2"/>
      <c r="AJC31" s="2"/>
      <c r="AJD31" s="2"/>
      <c r="AJE31" s="2"/>
      <c r="AJF31" s="2"/>
      <c r="AJG31" s="2"/>
      <c r="AJH31" s="2"/>
      <c r="AJI31" s="2"/>
      <c r="AJJ31" s="2"/>
      <c r="AJK31" s="2"/>
      <c r="AJL31" s="2"/>
      <c r="AJM31" s="2"/>
      <c r="AJN31" s="2"/>
      <c r="AJO31" s="2"/>
      <c r="AJP31" s="2"/>
      <c r="AJQ31" s="2"/>
      <c r="AJR31" s="2"/>
      <c r="AJS31" s="2"/>
      <c r="AJT31" s="2"/>
      <c r="AJU31" s="2"/>
      <c r="AJV31" s="2"/>
      <c r="AJW31" s="2"/>
      <c r="AJX31" s="2"/>
      <c r="AJY31" s="2"/>
      <c r="AJZ31" s="2"/>
    </row>
    <row r="32" spans="1:962">
      <c r="A32" s="16">
        <v>31</v>
      </c>
      <c r="B32" s="8">
        <v>2</v>
      </c>
      <c r="C32" s="9">
        <v>10.130000000000001</v>
      </c>
      <c r="D32" s="9">
        <v>6.45</v>
      </c>
      <c r="E32" s="9">
        <v>2.44</v>
      </c>
      <c r="F32" s="9">
        <v>0.2</v>
      </c>
      <c r="G32" s="9">
        <v>275</v>
      </c>
      <c r="H32" s="17">
        <v>2</v>
      </c>
      <c r="I32" s="9">
        <f t="shared" si="0"/>
        <v>2.6434426229508197</v>
      </c>
      <c r="J32" s="9">
        <f t="shared" si="1"/>
        <v>8.1967213114754106E-2</v>
      </c>
      <c r="K32" s="9">
        <f t="shared" si="2"/>
        <v>112.70491803278689</v>
      </c>
      <c r="L32" s="9">
        <f t="shared" si="3"/>
        <v>726.94672131147547</v>
      </c>
      <c r="M32" s="8">
        <v>5</v>
      </c>
      <c r="N32" s="9" t="s">
        <v>26</v>
      </c>
      <c r="O32" s="9">
        <v>4.9000000000000004</v>
      </c>
      <c r="P32" s="9">
        <v>10.130000000000001</v>
      </c>
      <c r="Q32" s="9">
        <v>6.45</v>
      </c>
      <c r="R32" s="9">
        <v>2.44</v>
      </c>
      <c r="S32" s="9">
        <v>0.2</v>
      </c>
      <c r="T32" s="9">
        <v>1.02</v>
      </c>
      <c r="U32" s="9">
        <v>0.01</v>
      </c>
      <c r="V32" s="9">
        <v>0.02</v>
      </c>
      <c r="W32" s="9">
        <v>7.96</v>
      </c>
      <c r="X32" s="20">
        <v>106</v>
      </c>
      <c r="Y32" s="9">
        <v>0.33</v>
      </c>
      <c r="Z32" s="9">
        <v>275</v>
      </c>
      <c r="AA32" s="9">
        <v>0.4</v>
      </c>
      <c r="AB32" s="24">
        <v>3.1E-2</v>
      </c>
      <c r="AC32" s="9">
        <v>152.6</v>
      </c>
      <c r="AD32" s="9">
        <v>3.7</v>
      </c>
      <c r="AE32" s="9">
        <v>121.5</v>
      </c>
      <c r="AF32" s="9">
        <v>2.52</v>
      </c>
      <c r="AG32" s="9">
        <v>1.08</v>
      </c>
      <c r="AH32" s="9">
        <v>8.9</v>
      </c>
      <c r="AI32" s="9">
        <v>144.37</v>
      </c>
      <c r="AJ32" s="9">
        <v>19.399999999999999</v>
      </c>
      <c r="AK32" s="9">
        <v>55.7</v>
      </c>
      <c r="AL32" s="9">
        <v>67.77</v>
      </c>
      <c r="AM32" s="9">
        <v>25.8</v>
      </c>
      <c r="AN32" s="24">
        <v>1.0620000000000001</v>
      </c>
      <c r="AO32" s="9">
        <v>0.89</v>
      </c>
      <c r="AP32" s="16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  <c r="SG32" s="2"/>
      <c r="SH32" s="2"/>
      <c r="SI32" s="2"/>
      <c r="SJ32" s="2"/>
      <c r="SK32" s="2"/>
      <c r="SL32" s="2"/>
      <c r="SM32" s="2"/>
      <c r="SN32" s="2"/>
      <c r="SO32" s="2"/>
      <c r="SP32" s="2"/>
      <c r="SQ32" s="2"/>
      <c r="SR32" s="2"/>
      <c r="SS32" s="2"/>
      <c r="ST32" s="2"/>
      <c r="SU32" s="2"/>
      <c r="SV32" s="2"/>
      <c r="SW32" s="2"/>
      <c r="SX32" s="2"/>
      <c r="SY32" s="2"/>
      <c r="SZ32" s="2"/>
      <c r="TA32" s="2"/>
      <c r="TB32" s="2"/>
      <c r="TC32" s="2"/>
      <c r="TD32" s="2"/>
      <c r="TE32" s="2"/>
      <c r="TF32" s="2"/>
      <c r="TG32" s="2"/>
      <c r="TH32" s="2"/>
      <c r="TI32" s="2"/>
      <c r="TJ32" s="2"/>
      <c r="TK32" s="2"/>
      <c r="TL32" s="2"/>
      <c r="TM32" s="2"/>
      <c r="TN32" s="2"/>
      <c r="TO32" s="2"/>
      <c r="TP32" s="2"/>
      <c r="TQ32" s="2"/>
      <c r="TR32" s="2"/>
      <c r="TS32" s="2"/>
      <c r="TT32" s="2"/>
      <c r="TU32" s="2"/>
      <c r="TV32" s="2"/>
      <c r="TW32" s="2"/>
      <c r="TX32" s="2"/>
      <c r="TY32" s="2"/>
      <c r="TZ32" s="2"/>
      <c r="UA32" s="2"/>
      <c r="UB32" s="2"/>
      <c r="UC32" s="2"/>
      <c r="UD32" s="2"/>
      <c r="UE32" s="2"/>
      <c r="UF32" s="2"/>
      <c r="UG32" s="2"/>
      <c r="UH32" s="2"/>
      <c r="UI32" s="2"/>
      <c r="UJ32" s="2"/>
      <c r="UK32" s="2"/>
      <c r="UL32" s="2"/>
      <c r="UM32" s="2"/>
      <c r="UN32" s="2"/>
      <c r="UO32" s="2"/>
      <c r="UP32" s="2"/>
      <c r="UQ32" s="2"/>
      <c r="UR32" s="2"/>
      <c r="US32" s="2"/>
      <c r="UT32" s="2"/>
      <c r="UU32" s="2"/>
      <c r="UV32" s="2"/>
      <c r="UW32" s="2"/>
      <c r="UX32" s="2"/>
      <c r="UY32" s="2"/>
      <c r="UZ32" s="2"/>
      <c r="VA32" s="2"/>
      <c r="VB32" s="2"/>
      <c r="VC32" s="2"/>
      <c r="VD32" s="2"/>
      <c r="VE32" s="2"/>
      <c r="VF32" s="2"/>
      <c r="VG32" s="2"/>
      <c r="VH32" s="2"/>
      <c r="VI32" s="2"/>
      <c r="VJ32" s="2"/>
      <c r="VK32" s="2"/>
      <c r="VL32" s="2"/>
      <c r="VM32" s="2"/>
      <c r="VN32" s="2"/>
      <c r="VO32" s="2"/>
      <c r="VP32" s="2"/>
      <c r="VQ32" s="2"/>
      <c r="VR32" s="2"/>
      <c r="VS32" s="2"/>
      <c r="VT32" s="2"/>
      <c r="VU32" s="2"/>
      <c r="VV32" s="2"/>
      <c r="VW32" s="2"/>
      <c r="VX32" s="2"/>
      <c r="VY32" s="2"/>
      <c r="VZ32" s="2"/>
      <c r="WA32" s="2"/>
      <c r="WB32" s="2"/>
      <c r="WC32" s="2"/>
      <c r="WD32" s="2"/>
      <c r="WE32" s="2"/>
      <c r="WF32" s="2"/>
      <c r="WG32" s="2"/>
      <c r="WH32" s="2"/>
      <c r="WI32" s="2"/>
      <c r="WJ32" s="2"/>
      <c r="WK32" s="2"/>
      <c r="WL32" s="2"/>
      <c r="WM32" s="2"/>
      <c r="WN32" s="2"/>
      <c r="WO32" s="2"/>
      <c r="WP32" s="2"/>
      <c r="WQ32" s="2"/>
      <c r="WR32" s="2"/>
      <c r="WS32" s="2"/>
      <c r="WT32" s="2"/>
      <c r="WU32" s="2"/>
      <c r="WV32" s="2"/>
      <c r="WW32" s="2"/>
      <c r="WX32" s="2"/>
      <c r="WY32" s="2"/>
      <c r="WZ32" s="2"/>
      <c r="XA32" s="2"/>
      <c r="XB32" s="2"/>
      <c r="XC32" s="2"/>
      <c r="XD32" s="2"/>
      <c r="XE32" s="2"/>
      <c r="XF32" s="2"/>
      <c r="XG32" s="2"/>
      <c r="XH32" s="2"/>
      <c r="XI32" s="2"/>
      <c r="XJ32" s="2"/>
      <c r="XK32" s="2"/>
      <c r="XL32" s="2"/>
      <c r="XM32" s="2"/>
      <c r="XN32" s="2"/>
      <c r="XO32" s="2"/>
      <c r="XP32" s="2"/>
      <c r="XQ32" s="2"/>
      <c r="XR32" s="2"/>
      <c r="XS32" s="2"/>
      <c r="XT32" s="2"/>
      <c r="XU32" s="2"/>
      <c r="XV32" s="2"/>
      <c r="XW32" s="2"/>
      <c r="XX32" s="2"/>
      <c r="XY32" s="2"/>
      <c r="XZ32" s="2"/>
      <c r="YA32" s="2"/>
      <c r="YB32" s="2"/>
      <c r="YC32" s="2"/>
      <c r="YD32" s="2"/>
      <c r="YE32" s="2"/>
      <c r="YF32" s="2"/>
      <c r="YG32" s="2"/>
      <c r="YH32" s="2"/>
      <c r="YI32" s="2"/>
      <c r="YJ32" s="2"/>
      <c r="YK32" s="2"/>
      <c r="YL32" s="2"/>
      <c r="YM32" s="2"/>
      <c r="YN32" s="2"/>
      <c r="YO32" s="2"/>
      <c r="YP32" s="2"/>
      <c r="YQ32" s="2"/>
      <c r="YR32" s="2"/>
      <c r="YS32" s="2"/>
      <c r="YT32" s="2"/>
      <c r="YU32" s="2"/>
      <c r="YV32" s="2"/>
      <c r="YW32" s="2"/>
      <c r="YX32" s="2"/>
      <c r="YY32" s="2"/>
      <c r="YZ32" s="2"/>
      <c r="ZA32" s="2"/>
      <c r="ZB32" s="2"/>
      <c r="ZC32" s="2"/>
      <c r="ZD32" s="2"/>
      <c r="ZE32" s="2"/>
      <c r="ZF32" s="2"/>
      <c r="ZG32" s="2"/>
      <c r="ZH32" s="2"/>
      <c r="ZI32" s="2"/>
      <c r="ZJ32" s="2"/>
      <c r="ZK32" s="2"/>
      <c r="ZL32" s="2"/>
      <c r="ZM32" s="2"/>
      <c r="ZN32" s="2"/>
      <c r="ZO32" s="2"/>
      <c r="ZP32" s="2"/>
      <c r="ZQ32" s="2"/>
      <c r="ZR32" s="2"/>
      <c r="ZS32" s="2"/>
      <c r="ZT32" s="2"/>
      <c r="ZU32" s="2"/>
      <c r="ZV32" s="2"/>
      <c r="ZW32" s="2"/>
      <c r="ZX32" s="2"/>
      <c r="ZY32" s="2"/>
      <c r="ZZ32" s="2"/>
      <c r="AAA32" s="2"/>
      <c r="AAB32" s="2"/>
      <c r="AAC32" s="2"/>
      <c r="AAD32" s="2"/>
      <c r="AAE32" s="2"/>
      <c r="AAF32" s="2"/>
      <c r="AAG32" s="2"/>
      <c r="AAH32" s="2"/>
      <c r="AAI32" s="2"/>
      <c r="AAJ32" s="2"/>
      <c r="AAK32" s="2"/>
      <c r="AAL32" s="2"/>
      <c r="AAM32" s="2"/>
      <c r="AAN32" s="2"/>
      <c r="AAO32" s="2"/>
      <c r="AAP32" s="2"/>
      <c r="AAQ32" s="2"/>
      <c r="AAR32" s="2"/>
      <c r="AAS32" s="2"/>
      <c r="AAT32" s="2"/>
      <c r="AAU32" s="2"/>
      <c r="AAV32" s="2"/>
      <c r="AAW32" s="2"/>
      <c r="AAX32" s="2"/>
      <c r="AAY32" s="2"/>
      <c r="AAZ32" s="2"/>
      <c r="ABA32" s="2"/>
      <c r="ABB32" s="2"/>
      <c r="ABC32" s="2"/>
      <c r="ABD32" s="2"/>
      <c r="ABE32" s="2"/>
      <c r="ABF32" s="2"/>
      <c r="ABG32" s="2"/>
      <c r="ABH32" s="2"/>
      <c r="ABI32" s="2"/>
      <c r="ABJ32" s="2"/>
      <c r="ABK32" s="2"/>
      <c r="ABL32" s="2"/>
      <c r="ABM32" s="2"/>
      <c r="ABN32" s="2"/>
      <c r="ABO32" s="2"/>
      <c r="ABP32" s="2"/>
      <c r="ABQ32" s="2"/>
      <c r="ABR32" s="2"/>
      <c r="ABS32" s="2"/>
      <c r="ABT32" s="2"/>
      <c r="ABU32" s="2"/>
      <c r="ABV32" s="2"/>
      <c r="ABW32" s="2"/>
      <c r="ABX32" s="2"/>
      <c r="ABY32" s="2"/>
      <c r="ABZ32" s="2"/>
      <c r="ACA32" s="2"/>
      <c r="ACB32" s="2"/>
      <c r="ACC32" s="2"/>
      <c r="ACD32" s="2"/>
      <c r="ACE32" s="2"/>
      <c r="ACF32" s="2"/>
      <c r="ACG32" s="2"/>
      <c r="ACH32" s="2"/>
      <c r="ACI32" s="2"/>
      <c r="ACJ32" s="2"/>
      <c r="ACK32" s="2"/>
      <c r="ACL32" s="2"/>
      <c r="ACM32" s="2"/>
      <c r="ACN32" s="2"/>
      <c r="ACO32" s="2"/>
      <c r="ACP32" s="2"/>
      <c r="ACQ32" s="2"/>
      <c r="ACR32" s="2"/>
      <c r="ACS32" s="2"/>
      <c r="ACT32" s="2"/>
      <c r="ACU32" s="2"/>
      <c r="ACV32" s="2"/>
      <c r="ACW32" s="2"/>
      <c r="ACX32" s="2"/>
      <c r="ACY32" s="2"/>
      <c r="ACZ32" s="2"/>
      <c r="ADA32" s="2"/>
      <c r="ADB32" s="2"/>
      <c r="ADC32" s="2"/>
      <c r="ADD32" s="2"/>
      <c r="ADE32" s="2"/>
      <c r="ADF32" s="2"/>
      <c r="ADG32" s="2"/>
      <c r="ADH32" s="2"/>
      <c r="ADI32" s="2"/>
      <c r="ADJ32" s="2"/>
      <c r="ADK32" s="2"/>
      <c r="ADL32" s="2"/>
      <c r="ADM32" s="2"/>
      <c r="ADN32" s="2"/>
      <c r="ADO32" s="2"/>
      <c r="ADP32" s="2"/>
      <c r="ADQ32" s="2"/>
      <c r="ADR32" s="2"/>
      <c r="ADS32" s="2"/>
      <c r="ADT32" s="2"/>
      <c r="ADU32" s="2"/>
      <c r="ADV32" s="2"/>
      <c r="ADW32" s="2"/>
      <c r="ADX32" s="2"/>
      <c r="ADY32" s="2"/>
      <c r="ADZ32" s="2"/>
      <c r="AEA32" s="2"/>
      <c r="AEB32" s="2"/>
      <c r="AEC32" s="2"/>
      <c r="AED32" s="2"/>
      <c r="AEE32" s="2"/>
      <c r="AEF32" s="2"/>
      <c r="AEG32" s="2"/>
      <c r="AEH32" s="2"/>
      <c r="AEI32" s="2"/>
      <c r="AEJ32" s="2"/>
      <c r="AEK32" s="2"/>
      <c r="AEL32" s="2"/>
      <c r="AEM32" s="2"/>
      <c r="AEN32" s="2"/>
      <c r="AEO32" s="2"/>
      <c r="AEP32" s="2"/>
      <c r="AEQ32" s="2"/>
      <c r="AER32" s="2"/>
      <c r="AES32" s="2"/>
      <c r="AET32" s="2"/>
      <c r="AEU32" s="2"/>
      <c r="AEV32" s="2"/>
      <c r="AEW32" s="2"/>
      <c r="AEX32" s="2"/>
      <c r="AEY32" s="2"/>
      <c r="AEZ32" s="2"/>
      <c r="AFA32" s="2"/>
      <c r="AFB32" s="2"/>
      <c r="AFC32" s="2"/>
      <c r="AFD32" s="2"/>
      <c r="AFE32" s="2"/>
      <c r="AFF32" s="2"/>
      <c r="AFG32" s="2"/>
      <c r="AFH32" s="2"/>
      <c r="AFI32" s="2"/>
      <c r="AFJ32" s="2"/>
      <c r="AFK32" s="2"/>
      <c r="AFL32" s="2"/>
      <c r="AFM32" s="2"/>
      <c r="AFN32" s="2"/>
      <c r="AFO32" s="2"/>
      <c r="AFP32" s="2"/>
      <c r="AFQ32" s="2"/>
      <c r="AFR32" s="2"/>
      <c r="AFS32" s="2"/>
      <c r="AFT32" s="2"/>
      <c r="AFU32" s="2"/>
      <c r="AFV32" s="2"/>
      <c r="AFW32" s="2"/>
      <c r="AFX32" s="2"/>
      <c r="AFY32" s="2"/>
      <c r="AFZ32" s="2"/>
      <c r="AGA32" s="2"/>
      <c r="AGB32" s="2"/>
      <c r="AGC32" s="2"/>
      <c r="AGD32" s="2"/>
      <c r="AGE32" s="2"/>
      <c r="AGF32" s="2"/>
      <c r="AGG32" s="2"/>
      <c r="AGH32" s="2"/>
      <c r="AGI32" s="2"/>
      <c r="AGJ32" s="2"/>
      <c r="AGK32" s="2"/>
      <c r="AGL32" s="2"/>
      <c r="AGM32" s="2"/>
      <c r="AGN32" s="2"/>
      <c r="AGO32" s="2"/>
      <c r="AGP32" s="2"/>
      <c r="AGQ32" s="2"/>
      <c r="AGR32" s="2"/>
      <c r="AGS32" s="2"/>
      <c r="AGT32" s="2"/>
      <c r="AGU32" s="2"/>
      <c r="AGV32" s="2"/>
      <c r="AGW32" s="2"/>
      <c r="AGX32" s="2"/>
      <c r="AGY32" s="2"/>
      <c r="AGZ32" s="2"/>
      <c r="AHA32" s="2"/>
      <c r="AHB32" s="2"/>
      <c r="AHC32" s="2"/>
      <c r="AHD32" s="2"/>
      <c r="AHE32" s="2"/>
      <c r="AHF32" s="2"/>
      <c r="AHG32" s="2"/>
      <c r="AHH32" s="2"/>
      <c r="AHI32" s="2"/>
      <c r="AHJ32" s="2"/>
      <c r="AHK32" s="2"/>
      <c r="AHL32" s="2"/>
      <c r="AHM32" s="2"/>
      <c r="AHN32" s="2"/>
      <c r="AHO32" s="2"/>
      <c r="AHP32" s="2"/>
      <c r="AHQ32" s="2"/>
      <c r="AHR32" s="2"/>
      <c r="AHS32" s="2"/>
      <c r="AHT32" s="2"/>
      <c r="AHU32" s="2"/>
      <c r="AHV32" s="2"/>
      <c r="AHW32" s="2"/>
      <c r="AHX32" s="2"/>
      <c r="AHY32" s="2"/>
      <c r="AHZ32" s="2"/>
      <c r="AIA32" s="2"/>
      <c r="AIB32" s="2"/>
      <c r="AIC32" s="2"/>
      <c r="AID32" s="2"/>
      <c r="AIE32" s="2"/>
      <c r="AIF32" s="2"/>
      <c r="AIG32" s="2"/>
      <c r="AIH32" s="2"/>
      <c r="AII32" s="2"/>
      <c r="AIJ32" s="2"/>
      <c r="AIK32" s="2"/>
      <c r="AIL32" s="2"/>
      <c r="AIM32" s="2"/>
      <c r="AIN32" s="2"/>
      <c r="AIO32" s="2"/>
      <c r="AIP32" s="2"/>
      <c r="AIQ32" s="2"/>
      <c r="AIR32" s="2"/>
      <c r="AIS32" s="2"/>
      <c r="AIT32" s="2"/>
      <c r="AIU32" s="2"/>
      <c r="AIV32" s="2"/>
      <c r="AIW32" s="2"/>
      <c r="AIX32" s="2"/>
      <c r="AIY32" s="2"/>
      <c r="AIZ32" s="2"/>
      <c r="AJA32" s="2"/>
      <c r="AJB32" s="2"/>
      <c r="AJC32" s="2"/>
      <c r="AJD32" s="2"/>
      <c r="AJE32" s="2"/>
      <c r="AJF32" s="2"/>
      <c r="AJG32" s="2"/>
      <c r="AJH32" s="2"/>
      <c r="AJI32" s="2"/>
      <c r="AJJ32" s="2"/>
      <c r="AJK32" s="2"/>
      <c r="AJL32" s="2"/>
      <c r="AJM32" s="2"/>
      <c r="AJN32" s="2"/>
      <c r="AJO32" s="2"/>
      <c r="AJP32" s="2"/>
      <c r="AJQ32" s="2"/>
      <c r="AJR32" s="2"/>
      <c r="AJS32" s="2"/>
      <c r="AJT32" s="2"/>
      <c r="AJU32" s="2"/>
      <c r="AJV32" s="2"/>
      <c r="AJW32" s="2"/>
      <c r="AJX32" s="2"/>
      <c r="AJY32" s="2"/>
      <c r="AJZ32" s="2"/>
    </row>
    <row r="33" spans="1:962">
      <c r="A33" s="16">
        <v>32</v>
      </c>
      <c r="B33" s="7">
        <v>2</v>
      </c>
      <c r="C33" s="7">
        <v>6.67</v>
      </c>
      <c r="D33" s="7">
        <v>3.12</v>
      </c>
      <c r="E33" s="7">
        <v>2.68</v>
      </c>
      <c r="F33" s="7">
        <v>0.09</v>
      </c>
      <c r="G33" s="7">
        <v>161</v>
      </c>
      <c r="H33" s="17">
        <v>2</v>
      </c>
      <c r="I33" s="9">
        <f t="shared" si="0"/>
        <v>1.164179104477612</v>
      </c>
      <c r="J33" s="9">
        <f t="shared" si="1"/>
        <v>3.3582089552238806E-2</v>
      </c>
      <c r="K33" s="9">
        <f t="shared" si="2"/>
        <v>60.07462686567164</v>
      </c>
      <c r="L33" s="9">
        <f t="shared" si="3"/>
        <v>187.43283582089552</v>
      </c>
      <c r="M33" s="7">
        <v>2</v>
      </c>
      <c r="N33" s="7" t="s">
        <v>26</v>
      </c>
      <c r="O33" s="7">
        <v>5.2</v>
      </c>
      <c r="P33" s="7">
        <v>6.67</v>
      </c>
      <c r="Q33" s="7">
        <v>3.12</v>
      </c>
      <c r="R33" s="7">
        <v>2.68</v>
      </c>
      <c r="S33" s="7">
        <v>0.09</v>
      </c>
      <c r="T33" s="7">
        <v>0.77</v>
      </c>
      <c r="U33" s="7">
        <v>0</v>
      </c>
      <c r="V33" s="7">
        <v>0</v>
      </c>
      <c r="W33" s="9">
        <v>9.75</v>
      </c>
      <c r="X33" s="20">
        <v>139</v>
      </c>
      <c r="Y33" s="7">
        <v>0.45</v>
      </c>
      <c r="Z33" s="7">
        <v>161</v>
      </c>
      <c r="AA33" s="7">
        <v>0.6</v>
      </c>
      <c r="AB33" s="24">
        <v>6.0999999999999999E-2</v>
      </c>
      <c r="AC33" s="7">
        <v>157.80000000000001</v>
      </c>
      <c r="AD33" s="7">
        <v>4.1100000000000003</v>
      </c>
      <c r="AE33" s="7">
        <v>124.6</v>
      </c>
      <c r="AF33" s="7">
        <v>2.59</v>
      </c>
      <c r="AG33" s="7">
        <v>1.41</v>
      </c>
      <c r="AH33" s="7">
        <v>10.050000000000001</v>
      </c>
      <c r="AI33" s="7">
        <v>143.69999999999999</v>
      </c>
      <c r="AJ33" s="7">
        <v>21.8</v>
      </c>
      <c r="AK33" s="20">
        <v>56</v>
      </c>
      <c r="AL33" s="7">
        <v>72.599999999999994</v>
      </c>
      <c r="AM33" s="7">
        <v>38.700000000000003</v>
      </c>
      <c r="AN33" s="24">
        <v>1.0640000000000001</v>
      </c>
      <c r="AO33" s="7">
        <v>8.2400000000000001E-2</v>
      </c>
      <c r="AP33" s="21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  <c r="SG33" s="2"/>
      <c r="SH33" s="2"/>
      <c r="SI33" s="2"/>
      <c r="SJ33" s="2"/>
      <c r="SK33" s="2"/>
      <c r="SL33" s="2"/>
      <c r="SM33" s="2"/>
      <c r="SN33" s="2"/>
      <c r="SO33" s="2"/>
      <c r="SP33" s="2"/>
      <c r="SQ33" s="2"/>
      <c r="SR33" s="2"/>
      <c r="SS33" s="2"/>
      <c r="ST33" s="2"/>
      <c r="SU33" s="2"/>
      <c r="SV33" s="2"/>
      <c r="SW33" s="2"/>
      <c r="SX33" s="2"/>
      <c r="SY33" s="2"/>
      <c r="SZ33" s="2"/>
      <c r="TA33" s="2"/>
      <c r="TB33" s="2"/>
      <c r="TC33" s="2"/>
      <c r="TD33" s="2"/>
      <c r="TE33" s="2"/>
      <c r="TF33" s="2"/>
      <c r="TG33" s="2"/>
      <c r="TH33" s="2"/>
      <c r="TI33" s="2"/>
      <c r="TJ33" s="2"/>
      <c r="TK33" s="2"/>
      <c r="TL33" s="2"/>
      <c r="TM33" s="2"/>
      <c r="TN33" s="2"/>
      <c r="TO33" s="2"/>
      <c r="TP33" s="2"/>
      <c r="TQ33" s="2"/>
      <c r="TR33" s="2"/>
      <c r="TS33" s="2"/>
      <c r="TT33" s="2"/>
      <c r="TU33" s="2"/>
      <c r="TV33" s="2"/>
      <c r="TW33" s="2"/>
      <c r="TX33" s="2"/>
      <c r="TY33" s="2"/>
      <c r="TZ33" s="2"/>
      <c r="UA33" s="2"/>
      <c r="UB33" s="2"/>
      <c r="UC33" s="2"/>
      <c r="UD33" s="2"/>
      <c r="UE33" s="2"/>
      <c r="UF33" s="2"/>
      <c r="UG33" s="2"/>
      <c r="UH33" s="2"/>
      <c r="UI33" s="2"/>
      <c r="UJ33" s="2"/>
      <c r="UK33" s="2"/>
      <c r="UL33" s="2"/>
      <c r="UM33" s="2"/>
      <c r="UN33" s="2"/>
      <c r="UO33" s="2"/>
      <c r="UP33" s="2"/>
      <c r="UQ33" s="2"/>
      <c r="UR33" s="2"/>
      <c r="US33" s="2"/>
      <c r="UT33" s="2"/>
      <c r="UU33" s="2"/>
      <c r="UV33" s="2"/>
      <c r="UW33" s="2"/>
      <c r="UX33" s="2"/>
      <c r="UY33" s="2"/>
      <c r="UZ33" s="2"/>
      <c r="VA33" s="2"/>
      <c r="VB33" s="2"/>
      <c r="VC33" s="2"/>
      <c r="VD33" s="2"/>
      <c r="VE33" s="2"/>
      <c r="VF33" s="2"/>
      <c r="VG33" s="2"/>
      <c r="VH33" s="2"/>
      <c r="VI33" s="2"/>
      <c r="VJ33" s="2"/>
      <c r="VK33" s="2"/>
      <c r="VL33" s="2"/>
      <c r="VM33" s="2"/>
      <c r="VN33" s="2"/>
      <c r="VO33" s="2"/>
      <c r="VP33" s="2"/>
      <c r="VQ33" s="2"/>
      <c r="VR33" s="2"/>
      <c r="VS33" s="2"/>
      <c r="VT33" s="2"/>
      <c r="VU33" s="2"/>
      <c r="VV33" s="2"/>
      <c r="VW33" s="2"/>
      <c r="VX33" s="2"/>
      <c r="VY33" s="2"/>
      <c r="VZ33" s="2"/>
      <c r="WA33" s="2"/>
      <c r="WB33" s="2"/>
      <c r="WC33" s="2"/>
      <c r="WD33" s="2"/>
      <c r="WE33" s="2"/>
      <c r="WF33" s="2"/>
      <c r="WG33" s="2"/>
      <c r="WH33" s="2"/>
      <c r="WI33" s="2"/>
      <c r="WJ33" s="2"/>
      <c r="WK33" s="2"/>
      <c r="WL33" s="2"/>
      <c r="WM33" s="2"/>
      <c r="WN33" s="2"/>
      <c r="WO33" s="2"/>
      <c r="WP33" s="2"/>
      <c r="WQ33" s="2"/>
      <c r="WR33" s="2"/>
      <c r="WS33" s="2"/>
      <c r="WT33" s="2"/>
      <c r="WU33" s="2"/>
      <c r="WV33" s="2"/>
      <c r="WW33" s="2"/>
      <c r="WX33" s="2"/>
      <c r="WY33" s="2"/>
      <c r="WZ33" s="2"/>
      <c r="XA33" s="2"/>
      <c r="XB33" s="2"/>
      <c r="XC33" s="2"/>
      <c r="XD33" s="2"/>
      <c r="XE33" s="2"/>
      <c r="XF33" s="2"/>
      <c r="XG33" s="2"/>
      <c r="XH33" s="2"/>
      <c r="XI33" s="2"/>
      <c r="XJ33" s="2"/>
      <c r="XK33" s="2"/>
      <c r="XL33" s="2"/>
      <c r="XM33" s="2"/>
      <c r="XN33" s="2"/>
      <c r="XO33" s="2"/>
      <c r="XP33" s="2"/>
      <c r="XQ33" s="2"/>
      <c r="XR33" s="2"/>
      <c r="XS33" s="2"/>
      <c r="XT33" s="2"/>
      <c r="XU33" s="2"/>
      <c r="XV33" s="2"/>
      <c r="XW33" s="2"/>
      <c r="XX33" s="2"/>
      <c r="XY33" s="2"/>
      <c r="XZ33" s="2"/>
      <c r="YA33" s="2"/>
      <c r="YB33" s="2"/>
      <c r="YC33" s="2"/>
      <c r="YD33" s="2"/>
      <c r="YE33" s="2"/>
      <c r="YF33" s="2"/>
      <c r="YG33" s="2"/>
      <c r="YH33" s="2"/>
      <c r="YI33" s="2"/>
      <c r="YJ33" s="2"/>
      <c r="YK33" s="2"/>
      <c r="YL33" s="2"/>
      <c r="YM33" s="2"/>
      <c r="YN33" s="2"/>
      <c r="YO33" s="2"/>
      <c r="YP33" s="2"/>
      <c r="YQ33" s="2"/>
      <c r="YR33" s="2"/>
      <c r="YS33" s="2"/>
      <c r="YT33" s="2"/>
      <c r="YU33" s="2"/>
      <c r="YV33" s="2"/>
      <c r="YW33" s="2"/>
      <c r="YX33" s="2"/>
      <c r="YY33" s="2"/>
      <c r="YZ33" s="2"/>
      <c r="ZA33" s="2"/>
      <c r="ZB33" s="2"/>
      <c r="ZC33" s="2"/>
      <c r="ZD33" s="2"/>
      <c r="ZE33" s="2"/>
      <c r="ZF33" s="2"/>
      <c r="ZG33" s="2"/>
      <c r="ZH33" s="2"/>
      <c r="ZI33" s="2"/>
      <c r="ZJ33" s="2"/>
      <c r="ZK33" s="2"/>
      <c r="ZL33" s="2"/>
      <c r="ZM33" s="2"/>
      <c r="ZN33" s="2"/>
      <c r="ZO33" s="2"/>
      <c r="ZP33" s="2"/>
      <c r="ZQ33" s="2"/>
      <c r="ZR33" s="2"/>
      <c r="ZS33" s="2"/>
      <c r="ZT33" s="2"/>
      <c r="ZU33" s="2"/>
      <c r="ZV33" s="2"/>
      <c r="ZW33" s="2"/>
      <c r="ZX33" s="2"/>
      <c r="ZY33" s="2"/>
      <c r="ZZ33" s="2"/>
      <c r="AAA33" s="2"/>
      <c r="AAB33" s="2"/>
      <c r="AAC33" s="2"/>
      <c r="AAD33" s="2"/>
      <c r="AAE33" s="2"/>
      <c r="AAF33" s="2"/>
      <c r="AAG33" s="2"/>
      <c r="AAH33" s="2"/>
      <c r="AAI33" s="2"/>
      <c r="AAJ33" s="2"/>
      <c r="AAK33" s="2"/>
      <c r="AAL33" s="2"/>
      <c r="AAM33" s="2"/>
      <c r="AAN33" s="2"/>
      <c r="AAO33" s="2"/>
      <c r="AAP33" s="2"/>
      <c r="AAQ33" s="2"/>
      <c r="AAR33" s="2"/>
      <c r="AAS33" s="2"/>
      <c r="AAT33" s="2"/>
      <c r="AAU33" s="2"/>
      <c r="AAV33" s="2"/>
      <c r="AAW33" s="2"/>
      <c r="AAX33" s="2"/>
      <c r="AAY33" s="2"/>
      <c r="AAZ33" s="2"/>
      <c r="ABA33" s="2"/>
      <c r="ABB33" s="2"/>
      <c r="ABC33" s="2"/>
      <c r="ABD33" s="2"/>
      <c r="ABE33" s="2"/>
      <c r="ABF33" s="2"/>
      <c r="ABG33" s="2"/>
      <c r="ABH33" s="2"/>
      <c r="ABI33" s="2"/>
      <c r="ABJ33" s="2"/>
      <c r="ABK33" s="2"/>
      <c r="ABL33" s="2"/>
      <c r="ABM33" s="2"/>
      <c r="ABN33" s="2"/>
      <c r="ABO33" s="2"/>
      <c r="ABP33" s="2"/>
      <c r="ABQ33" s="2"/>
      <c r="ABR33" s="2"/>
      <c r="ABS33" s="2"/>
      <c r="ABT33" s="2"/>
      <c r="ABU33" s="2"/>
      <c r="ABV33" s="2"/>
      <c r="ABW33" s="2"/>
      <c r="ABX33" s="2"/>
      <c r="ABY33" s="2"/>
      <c r="ABZ33" s="2"/>
      <c r="ACA33" s="2"/>
      <c r="ACB33" s="2"/>
      <c r="ACC33" s="2"/>
      <c r="ACD33" s="2"/>
      <c r="ACE33" s="2"/>
      <c r="ACF33" s="2"/>
      <c r="ACG33" s="2"/>
      <c r="ACH33" s="2"/>
      <c r="ACI33" s="2"/>
      <c r="ACJ33" s="2"/>
      <c r="ACK33" s="2"/>
      <c r="ACL33" s="2"/>
      <c r="ACM33" s="2"/>
      <c r="ACN33" s="2"/>
      <c r="ACO33" s="2"/>
      <c r="ACP33" s="2"/>
      <c r="ACQ33" s="2"/>
      <c r="ACR33" s="2"/>
      <c r="ACS33" s="2"/>
      <c r="ACT33" s="2"/>
      <c r="ACU33" s="2"/>
      <c r="ACV33" s="2"/>
      <c r="ACW33" s="2"/>
      <c r="ACX33" s="2"/>
      <c r="ACY33" s="2"/>
      <c r="ACZ33" s="2"/>
      <c r="ADA33" s="2"/>
      <c r="ADB33" s="2"/>
      <c r="ADC33" s="2"/>
      <c r="ADD33" s="2"/>
      <c r="ADE33" s="2"/>
      <c r="ADF33" s="2"/>
      <c r="ADG33" s="2"/>
      <c r="ADH33" s="2"/>
      <c r="ADI33" s="2"/>
      <c r="ADJ33" s="2"/>
      <c r="ADK33" s="2"/>
      <c r="ADL33" s="2"/>
      <c r="ADM33" s="2"/>
      <c r="ADN33" s="2"/>
      <c r="ADO33" s="2"/>
      <c r="ADP33" s="2"/>
      <c r="ADQ33" s="2"/>
      <c r="ADR33" s="2"/>
      <c r="ADS33" s="2"/>
      <c r="ADT33" s="2"/>
      <c r="ADU33" s="2"/>
      <c r="ADV33" s="2"/>
      <c r="ADW33" s="2"/>
      <c r="ADX33" s="2"/>
      <c r="ADY33" s="2"/>
      <c r="ADZ33" s="2"/>
      <c r="AEA33" s="2"/>
      <c r="AEB33" s="2"/>
      <c r="AEC33" s="2"/>
      <c r="AED33" s="2"/>
      <c r="AEE33" s="2"/>
      <c r="AEF33" s="2"/>
      <c r="AEG33" s="2"/>
      <c r="AEH33" s="2"/>
      <c r="AEI33" s="2"/>
      <c r="AEJ33" s="2"/>
      <c r="AEK33" s="2"/>
      <c r="AEL33" s="2"/>
      <c r="AEM33" s="2"/>
      <c r="AEN33" s="2"/>
      <c r="AEO33" s="2"/>
      <c r="AEP33" s="2"/>
      <c r="AEQ33" s="2"/>
      <c r="AER33" s="2"/>
      <c r="AES33" s="2"/>
      <c r="AET33" s="2"/>
      <c r="AEU33" s="2"/>
      <c r="AEV33" s="2"/>
      <c r="AEW33" s="2"/>
      <c r="AEX33" s="2"/>
      <c r="AEY33" s="2"/>
      <c r="AEZ33" s="2"/>
      <c r="AFA33" s="2"/>
      <c r="AFB33" s="2"/>
      <c r="AFC33" s="2"/>
      <c r="AFD33" s="2"/>
      <c r="AFE33" s="2"/>
      <c r="AFF33" s="2"/>
      <c r="AFG33" s="2"/>
      <c r="AFH33" s="2"/>
      <c r="AFI33" s="2"/>
      <c r="AFJ33" s="2"/>
      <c r="AFK33" s="2"/>
      <c r="AFL33" s="2"/>
      <c r="AFM33" s="2"/>
      <c r="AFN33" s="2"/>
      <c r="AFO33" s="2"/>
      <c r="AFP33" s="2"/>
      <c r="AFQ33" s="2"/>
      <c r="AFR33" s="2"/>
      <c r="AFS33" s="2"/>
      <c r="AFT33" s="2"/>
      <c r="AFU33" s="2"/>
      <c r="AFV33" s="2"/>
      <c r="AFW33" s="2"/>
      <c r="AFX33" s="2"/>
      <c r="AFY33" s="2"/>
      <c r="AFZ33" s="2"/>
      <c r="AGA33" s="2"/>
      <c r="AGB33" s="2"/>
      <c r="AGC33" s="2"/>
      <c r="AGD33" s="2"/>
      <c r="AGE33" s="2"/>
      <c r="AGF33" s="2"/>
      <c r="AGG33" s="2"/>
      <c r="AGH33" s="2"/>
      <c r="AGI33" s="2"/>
      <c r="AGJ33" s="2"/>
      <c r="AGK33" s="2"/>
      <c r="AGL33" s="2"/>
      <c r="AGM33" s="2"/>
      <c r="AGN33" s="2"/>
      <c r="AGO33" s="2"/>
      <c r="AGP33" s="2"/>
      <c r="AGQ33" s="2"/>
      <c r="AGR33" s="2"/>
      <c r="AGS33" s="2"/>
      <c r="AGT33" s="2"/>
      <c r="AGU33" s="2"/>
      <c r="AGV33" s="2"/>
      <c r="AGW33" s="2"/>
      <c r="AGX33" s="2"/>
      <c r="AGY33" s="2"/>
      <c r="AGZ33" s="2"/>
      <c r="AHA33" s="2"/>
      <c r="AHB33" s="2"/>
      <c r="AHC33" s="2"/>
      <c r="AHD33" s="2"/>
      <c r="AHE33" s="2"/>
      <c r="AHF33" s="2"/>
      <c r="AHG33" s="2"/>
      <c r="AHH33" s="2"/>
      <c r="AHI33" s="2"/>
      <c r="AHJ33" s="2"/>
      <c r="AHK33" s="2"/>
      <c r="AHL33" s="2"/>
      <c r="AHM33" s="2"/>
      <c r="AHN33" s="2"/>
      <c r="AHO33" s="2"/>
      <c r="AHP33" s="2"/>
      <c r="AHQ33" s="2"/>
      <c r="AHR33" s="2"/>
      <c r="AHS33" s="2"/>
      <c r="AHT33" s="2"/>
      <c r="AHU33" s="2"/>
      <c r="AHV33" s="2"/>
      <c r="AHW33" s="2"/>
      <c r="AHX33" s="2"/>
      <c r="AHY33" s="2"/>
      <c r="AHZ33" s="2"/>
      <c r="AIA33" s="2"/>
      <c r="AIB33" s="2"/>
      <c r="AIC33" s="2"/>
      <c r="AID33" s="2"/>
      <c r="AIE33" s="2"/>
      <c r="AIF33" s="2"/>
      <c r="AIG33" s="2"/>
      <c r="AIH33" s="2"/>
      <c r="AII33" s="2"/>
      <c r="AIJ33" s="2"/>
      <c r="AIK33" s="2"/>
      <c r="AIL33" s="2"/>
      <c r="AIM33" s="2"/>
      <c r="AIN33" s="2"/>
      <c r="AIO33" s="2"/>
      <c r="AIP33" s="2"/>
      <c r="AIQ33" s="2"/>
      <c r="AIR33" s="2"/>
      <c r="AIS33" s="2"/>
      <c r="AIT33" s="2"/>
      <c r="AIU33" s="2"/>
      <c r="AIV33" s="2"/>
      <c r="AIW33" s="2"/>
      <c r="AIX33" s="2"/>
      <c r="AIY33" s="2"/>
      <c r="AIZ33" s="2"/>
      <c r="AJA33" s="2"/>
      <c r="AJB33" s="2"/>
      <c r="AJC33" s="2"/>
      <c r="AJD33" s="2"/>
      <c r="AJE33" s="2"/>
      <c r="AJF33" s="2"/>
      <c r="AJG33" s="2"/>
      <c r="AJH33" s="2"/>
      <c r="AJI33" s="2"/>
      <c r="AJJ33" s="2"/>
      <c r="AJK33" s="2"/>
      <c r="AJL33" s="2"/>
      <c r="AJM33" s="2"/>
      <c r="AJN33" s="2"/>
      <c r="AJO33" s="2"/>
      <c r="AJP33" s="2"/>
      <c r="AJQ33" s="2"/>
      <c r="AJR33" s="2"/>
      <c r="AJS33" s="2"/>
      <c r="AJT33" s="2"/>
      <c r="AJU33" s="2"/>
      <c r="AJV33" s="2"/>
      <c r="AJW33" s="2"/>
      <c r="AJX33" s="2"/>
      <c r="AJY33" s="2"/>
      <c r="AJZ33" s="2"/>
    </row>
    <row r="34" spans="1:962">
      <c r="A34" s="16">
        <v>33</v>
      </c>
      <c r="B34" s="7">
        <v>2</v>
      </c>
      <c r="C34" s="9">
        <v>6.61</v>
      </c>
      <c r="D34" s="7">
        <v>3.63</v>
      </c>
      <c r="E34" s="9">
        <v>1.92</v>
      </c>
      <c r="F34" s="7">
        <v>0.13</v>
      </c>
      <c r="G34" s="8">
        <v>253</v>
      </c>
      <c r="H34" s="17">
        <v>2</v>
      </c>
      <c r="I34" s="9">
        <f t="shared" si="0"/>
        <v>1.890625</v>
      </c>
      <c r="J34" s="9">
        <f t="shared" si="1"/>
        <v>6.7708333333333343E-2</v>
      </c>
      <c r="K34" s="9">
        <f t="shared" si="2"/>
        <v>131.77083333333334</v>
      </c>
      <c r="L34" s="9">
        <f t="shared" si="3"/>
        <v>478.328125</v>
      </c>
      <c r="M34" s="7">
        <v>2</v>
      </c>
      <c r="N34" s="7" t="s">
        <v>28</v>
      </c>
      <c r="O34" s="9">
        <v>3.5</v>
      </c>
      <c r="P34" s="9">
        <v>6.61</v>
      </c>
      <c r="Q34" s="7">
        <v>3.63</v>
      </c>
      <c r="R34" s="9">
        <v>1.92</v>
      </c>
      <c r="S34" s="7">
        <v>0.13</v>
      </c>
      <c r="T34" s="9">
        <v>0.92</v>
      </c>
      <c r="U34" s="7">
        <v>0</v>
      </c>
      <c r="V34" s="8">
        <v>0</v>
      </c>
      <c r="W34" s="9">
        <v>9.73</v>
      </c>
      <c r="X34" s="20">
        <v>136</v>
      </c>
      <c r="Y34" s="7">
        <v>0.42</v>
      </c>
      <c r="Z34" s="8">
        <v>253</v>
      </c>
      <c r="AA34" s="7">
        <v>0.8</v>
      </c>
      <c r="AB34" s="24">
        <v>0.08</v>
      </c>
      <c r="AC34" s="8">
        <v>156.9</v>
      </c>
      <c r="AD34" s="7">
        <v>4.07</v>
      </c>
      <c r="AE34" s="8">
        <v>121.7</v>
      </c>
      <c r="AF34" s="7">
        <v>2.5299999999999998</v>
      </c>
      <c r="AG34" s="8">
        <v>1.23</v>
      </c>
      <c r="AH34" s="7">
        <v>12.3</v>
      </c>
      <c r="AI34" s="20">
        <v>178</v>
      </c>
      <c r="AJ34" s="7">
        <v>23.5</v>
      </c>
      <c r="AK34" s="7">
        <v>36.200000000000003</v>
      </c>
      <c r="AL34" s="7">
        <v>68.900000000000006</v>
      </c>
      <c r="AM34" s="20">
        <v>37</v>
      </c>
      <c r="AN34" s="24">
        <v>1.038</v>
      </c>
      <c r="AO34" s="7">
        <v>6.0999999999999999E-2</v>
      </c>
    </row>
    <row r="35" spans="1:962">
      <c r="A35" s="16">
        <v>34</v>
      </c>
      <c r="B35" s="7">
        <v>2</v>
      </c>
      <c r="C35" s="7">
        <v>5.65</v>
      </c>
      <c r="D35" s="7">
        <v>4.3099999999999996</v>
      </c>
      <c r="E35" s="7">
        <v>1.05</v>
      </c>
      <c r="F35" s="7">
        <v>0.13</v>
      </c>
      <c r="G35" s="7">
        <v>136</v>
      </c>
      <c r="H35" s="17">
        <v>2</v>
      </c>
      <c r="I35" s="9">
        <f t="shared" si="0"/>
        <v>4.1047619047619044</v>
      </c>
      <c r="J35" s="9">
        <f t="shared" si="1"/>
        <v>0.12380952380952381</v>
      </c>
      <c r="K35" s="9">
        <f t="shared" si="2"/>
        <v>129.52380952380952</v>
      </c>
      <c r="L35" s="9">
        <f t="shared" si="3"/>
        <v>558.24761904761897</v>
      </c>
      <c r="M35" s="7">
        <v>10</v>
      </c>
      <c r="N35" s="7" t="s">
        <v>28</v>
      </c>
      <c r="O35" s="9">
        <v>5.6</v>
      </c>
      <c r="P35" s="7">
        <v>5.65</v>
      </c>
      <c r="Q35" s="7">
        <v>4.3099999999999996</v>
      </c>
      <c r="R35" s="7">
        <v>1.05</v>
      </c>
      <c r="S35" s="7">
        <v>0.13</v>
      </c>
      <c r="T35" s="7">
        <v>0.11</v>
      </c>
      <c r="U35" s="7">
        <v>0.05</v>
      </c>
      <c r="V35" s="7">
        <v>0</v>
      </c>
      <c r="W35" s="9">
        <v>9.42</v>
      </c>
      <c r="X35" s="20">
        <v>144</v>
      </c>
      <c r="Y35" s="7">
        <v>0.46</v>
      </c>
      <c r="Z35" s="7">
        <v>136</v>
      </c>
      <c r="AA35" s="7">
        <v>0.6</v>
      </c>
      <c r="AB35" s="24">
        <v>6.0999999999999999E-2</v>
      </c>
      <c r="AC35" s="7">
        <v>152.69999999999999</v>
      </c>
      <c r="AD35" s="7">
        <v>4.38</v>
      </c>
      <c r="AE35" s="7">
        <v>119.7</v>
      </c>
      <c r="AF35" s="7">
        <v>2.5099999999999998</v>
      </c>
      <c r="AG35" s="7">
        <v>1.49</v>
      </c>
      <c r="AH35" s="7">
        <v>9.6</v>
      </c>
      <c r="AI35" s="7">
        <v>191</v>
      </c>
      <c r="AJ35" s="7">
        <v>30</v>
      </c>
      <c r="AK35" s="7">
        <v>50.8</v>
      </c>
      <c r="AL35" s="7">
        <v>79.7</v>
      </c>
      <c r="AM35" s="7">
        <v>37.4</v>
      </c>
      <c r="AN35" s="24">
        <v>1.054</v>
      </c>
      <c r="AO35" s="7">
        <v>8.3299999999999999E-2</v>
      </c>
    </row>
    <row r="36" spans="1:962">
      <c r="A36" s="16">
        <v>35</v>
      </c>
      <c r="B36" s="16">
        <v>2</v>
      </c>
      <c r="C36" s="16">
        <v>8.9</v>
      </c>
      <c r="D36" s="9">
        <v>6.47</v>
      </c>
      <c r="E36" s="9">
        <v>1.9</v>
      </c>
      <c r="F36" s="9">
        <v>0.35</v>
      </c>
      <c r="G36" s="16">
        <v>218</v>
      </c>
      <c r="H36" s="17">
        <v>2</v>
      </c>
      <c r="I36" s="9">
        <f t="shared" si="0"/>
        <v>3.405263157894737</v>
      </c>
      <c r="J36" s="9">
        <f t="shared" si="1"/>
        <v>0.18421052631578946</v>
      </c>
      <c r="K36" s="9">
        <f t="shared" si="2"/>
        <v>114.73684210526316</v>
      </c>
      <c r="L36" s="9">
        <f t="shared" si="3"/>
        <v>742.34736842105269</v>
      </c>
      <c r="M36" s="16">
        <v>16</v>
      </c>
      <c r="N36" s="16" t="s">
        <v>29</v>
      </c>
      <c r="O36" s="16">
        <v>3.9</v>
      </c>
      <c r="P36" s="16">
        <v>8.9</v>
      </c>
      <c r="Q36" s="9">
        <v>6.47</v>
      </c>
      <c r="R36" s="9">
        <v>1.9</v>
      </c>
      <c r="S36" s="9">
        <v>0.35</v>
      </c>
      <c r="T36" s="9">
        <v>0.15</v>
      </c>
      <c r="U36" s="9">
        <v>0</v>
      </c>
      <c r="V36" s="9">
        <v>0.02</v>
      </c>
      <c r="W36" s="18">
        <v>7.69</v>
      </c>
      <c r="X36" s="19">
        <v>110</v>
      </c>
      <c r="Y36" s="16">
        <v>0.39</v>
      </c>
      <c r="Z36" s="16">
        <v>218</v>
      </c>
      <c r="AA36" s="16">
        <v>0.1</v>
      </c>
      <c r="AB36" s="16"/>
      <c r="AC36" s="16">
        <v>156.1</v>
      </c>
      <c r="AD36" s="16">
        <v>5.33</v>
      </c>
      <c r="AE36" s="16">
        <v>120.9</v>
      </c>
      <c r="AF36" s="16">
        <v>2.5</v>
      </c>
      <c r="AG36" s="16">
        <v>1.49</v>
      </c>
      <c r="AH36" s="16">
        <v>16.850000000000001</v>
      </c>
      <c r="AI36" s="16">
        <v>180.5</v>
      </c>
      <c r="AJ36" s="16">
        <v>26.9</v>
      </c>
      <c r="AK36" s="16">
        <v>63.6</v>
      </c>
      <c r="AL36" s="16">
        <v>68.33</v>
      </c>
      <c r="AM36" s="16">
        <v>29.2</v>
      </c>
      <c r="AN36" s="16"/>
      <c r="AO36" s="16"/>
    </row>
    <row r="37" spans="1:962">
      <c r="A37" s="16">
        <v>36</v>
      </c>
      <c r="B37" s="16">
        <v>2</v>
      </c>
      <c r="C37" s="16">
        <v>4.91</v>
      </c>
      <c r="D37" s="9">
        <v>3.74</v>
      </c>
      <c r="E37" s="9">
        <v>0.64</v>
      </c>
      <c r="F37" s="9">
        <v>0.19</v>
      </c>
      <c r="G37" s="16">
        <v>239</v>
      </c>
      <c r="H37" s="17">
        <v>2</v>
      </c>
      <c r="I37" s="9">
        <f t="shared" si="0"/>
        <v>5.84375</v>
      </c>
      <c r="J37" s="9">
        <f t="shared" si="1"/>
        <v>0.296875</v>
      </c>
      <c r="K37" s="9">
        <f t="shared" si="2"/>
        <v>373.4375</v>
      </c>
      <c r="L37" s="9">
        <f t="shared" si="3"/>
        <v>1396.65625</v>
      </c>
      <c r="M37" s="16">
        <v>20</v>
      </c>
      <c r="N37" s="16" t="s">
        <v>30</v>
      </c>
      <c r="O37" s="16">
        <v>2.78</v>
      </c>
      <c r="P37" s="16">
        <v>4.91</v>
      </c>
      <c r="Q37" s="9">
        <v>3.74</v>
      </c>
      <c r="R37" s="9">
        <v>0.64</v>
      </c>
      <c r="S37" s="9">
        <v>0.19</v>
      </c>
      <c r="T37" s="9">
        <v>0.33</v>
      </c>
      <c r="U37" s="9">
        <v>0</v>
      </c>
      <c r="V37" s="9">
        <v>0.01</v>
      </c>
      <c r="W37" s="18">
        <v>6.2</v>
      </c>
      <c r="X37" s="19">
        <v>76</v>
      </c>
      <c r="Y37" s="16">
        <v>0.27</v>
      </c>
      <c r="Z37" s="16">
        <v>239</v>
      </c>
      <c r="AA37" s="16">
        <v>0.4</v>
      </c>
      <c r="AB37" s="16"/>
      <c r="AC37" s="16">
        <v>160.1</v>
      </c>
      <c r="AD37" s="16">
        <v>3.89</v>
      </c>
      <c r="AE37" s="16">
        <v>127</v>
      </c>
      <c r="AF37" s="16">
        <v>2.95</v>
      </c>
      <c r="AG37" s="16">
        <v>1.69</v>
      </c>
      <c r="AH37" s="16">
        <v>17.8</v>
      </c>
      <c r="AI37" s="16">
        <v>231.5</v>
      </c>
      <c r="AJ37" s="16">
        <v>13.4</v>
      </c>
      <c r="AK37" s="16">
        <v>131</v>
      </c>
      <c r="AL37" s="16">
        <v>74.81</v>
      </c>
      <c r="AM37" s="16">
        <v>30.96</v>
      </c>
      <c r="AN37" s="16">
        <v>1.024</v>
      </c>
      <c r="AO37" s="16">
        <v>0.3075</v>
      </c>
    </row>
    <row r="38" spans="1:962">
      <c r="A38" s="16">
        <v>37</v>
      </c>
      <c r="B38" s="16">
        <v>2</v>
      </c>
      <c r="C38" s="16">
        <v>16.2</v>
      </c>
      <c r="D38" s="9">
        <v>10.06</v>
      </c>
      <c r="E38" s="9">
        <v>3.11</v>
      </c>
      <c r="F38" s="9">
        <v>0.52</v>
      </c>
      <c r="G38" s="16">
        <v>532</v>
      </c>
      <c r="H38" s="17">
        <v>2</v>
      </c>
      <c r="I38" s="9">
        <f t="shared" si="0"/>
        <v>3.234726688102894</v>
      </c>
      <c r="J38" s="9">
        <f t="shared" si="1"/>
        <v>0.1672025723472669</v>
      </c>
      <c r="K38" s="9">
        <f t="shared" si="2"/>
        <v>171.06109324758845</v>
      </c>
      <c r="L38" s="9">
        <f t="shared" si="3"/>
        <v>1720.8745980707397</v>
      </c>
      <c r="M38" s="16">
        <v>4.5</v>
      </c>
      <c r="N38" s="16" t="s">
        <v>31</v>
      </c>
      <c r="O38" s="16">
        <v>4</v>
      </c>
      <c r="P38" s="16">
        <v>16.2</v>
      </c>
      <c r="Q38" s="9">
        <v>10.06</v>
      </c>
      <c r="R38" s="9">
        <v>3.11</v>
      </c>
      <c r="S38" s="9">
        <v>0.52</v>
      </c>
      <c r="T38" s="9">
        <v>2.46</v>
      </c>
      <c r="U38" s="9">
        <v>0.01</v>
      </c>
      <c r="V38" s="9">
        <v>0.03</v>
      </c>
      <c r="W38" s="18">
        <v>9.0500000000000007</v>
      </c>
      <c r="X38" s="19">
        <v>116</v>
      </c>
      <c r="Y38" s="16">
        <v>0.4</v>
      </c>
      <c r="Z38" s="16">
        <v>532</v>
      </c>
      <c r="AA38" s="16">
        <v>0.6</v>
      </c>
      <c r="AB38" s="16"/>
      <c r="AC38" s="16">
        <v>150.80000000000001</v>
      </c>
      <c r="AD38" s="16">
        <v>5.0599999999999996</v>
      </c>
      <c r="AE38" s="16">
        <v>116.7</v>
      </c>
      <c r="AF38" s="16">
        <v>2.61</v>
      </c>
      <c r="AG38" s="16">
        <v>1.52</v>
      </c>
      <c r="AH38" s="16">
        <v>12.81</v>
      </c>
      <c r="AI38" s="16">
        <v>148.53</v>
      </c>
      <c r="AJ38" s="16">
        <v>26.7</v>
      </c>
      <c r="AK38" s="16">
        <v>61.3</v>
      </c>
      <c r="AL38" s="16">
        <v>83.13</v>
      </c>
      <c r="AM38" s="16">
        <v>30.27</v>
      </c>
      <c r="AN38" s="16">
        <v>1.024</v>
      </c>
      <c r="AO38" s="16">
        <v>0.25700000000000001</v>
      </c>
    </row>
    <row r="39" spans="1:962">
      <c r="A39" s="16">
        <v>38</v>
      </c>
      <c r="B39" s="7">
        <v>2</v>
      </c>
      <c r="C39" s="7">
        <v>10.06</v>
      </c>
      <c r="D39" s="7">
        <v>4.07</v>
      </c>
      <c r="E39" s="7">
        <v>2.9</v>
      </c>
      <c r="F39" s="7">
        <v>0.32</v>
      </c>
      <c r="G39" s="7">
        <v>302</v>
      </c>
      <c r="H39" s="17">
        <v>2</v>
      </c>
      <c r="I39" s="9">
        <f t="shared" si="0"/>
        <v>1.4034482758620692</v>
      </c>
      <c r="J39" s="9">
        <f t="shared" si="1"/>
        <v>0.11034482758620691</v>
      </c>
      <c r="K39" s="9">
        <f t="shared" si="2"/>
        <v>104.13793103448276</v>
      </c>
      <c r="L39" s="9">
        <f t="shared" si="3"/>
        <v>423.84137931034485</v>
      </c>
      <c r="M39" s="16">
        <v>12</v>
      </c>
      <c r="N39" s="16" t="s">
        <v>29</v>
      </c>
      <c r="O39" s="16">
        <v>9.1</v>
      </c>
      <c r="P39" s="7">
        <v>10.06</v>
      </c>
      <c r="Q39" s="7">
        <v>4.07</v>
      </c>
      <c r="R39" s="7">
        <v>2.9</v>
      </c>
      <c r="S39" s="7">
        <v>0.32</v>
      </c>
      <c r="T39" s="9">
        <v>1.63</v>
      </c>
      <c r="U39" s="9">
        <v>0.02</v>
      </c>
      <c r="V39" s="9">
        <v>0</v>
      </c>
      <c r="W39" s="18">
        <v>13.13</v>
      </c>
      <c r="X39" s="19">
        <v>160</v>
      </c>
      <c r="Y39" s="16">
        <v>0.47</v>
      </c>
      <c r="Z39" s="16">
        <v>302</v>
      </c>
      <c r="AA39" s="16">
        <v>0.3</v>
      </c>
      <c r="AB39" s="16">
        <v>4.1000000000000002E-2</v>
      </c>
      <c r="AC39" s="16"/>
      <c r="AD39" s="16"/>
      <c r="AE39" s="16"/>
      <c r="AF39" s="16"/>
      <c r="AG39" s="16"/>
      <c r="AH39" s="7">
        <v>13.99</v>
      </c>
      <c r="AI39" s="7">
        <v>186.29</v>
      </c>
      <c r="AJ39" s="16"/>
      <c r="AK39" s="16">
        <v>69.489999999999995</v>
      </c>
      <c r="AL39" s="16"/>
      <c r="AM39" s="16"/>
      <c r="AN39" s="16"/>
      <c r="AO39" s="16"/>
      <c r="AP39" s="16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  <c r="SG39" s="2"/>
      <c r="SH39" s="2"/>
      <c r="SI39" s="2"/>
      <c r="SJ39" s="2"/>
      <c r="SK39" s="2"/>
      <c r="SL39" s="2"/>
      <c r="SM39" s="2"/>
      <c r="SN39" s="2"/>
      <c r="SO39" s="2"/>
      <c r="SP39" s="2"/>
      <c r="SQ39" s="2"/>
      <c r="SR39" s="2"/>
      <c r="SS39" s="2"/>
      <c r="ST39" s="2"/>
      <c r="SU39" s="2"/>
      <c r="SV39" s="2"/>
      <c r="SW39" s="2"/>
      <c r="SX39" s="2"/>
      <c r="SY39" s="2"/>
      <c r="SZ39" s="2"/>
      <c r="TA39" s="2"/>
      <c r="TB39" s="2"/>
      <c r="TC39" s="2"/>
      <c r="TD39" s="2"/>
      <c r="TE39" s="2"/>
      <c r="TF39" s="2"/>
      <c r="TG39" s="2"/>
      <c r="TH39" s="2"/>
      <c r="TI39" s="2"/>
      <c r="TJ39" s="2"/>
      <c r="TK39" s="2"/>
      <c r="TL39" s="2"/>
      <c r="TM39" s="2"/>
      <c r="TN39" s="2"/>
      <c r="TO39" s="2"/>
      <c r="TP39" s="2"/>
      <c r="TQ39" s="2"/>
      <c r="TR39" s="2"/>
      <c r="TS39" s="2"/>
      <c r="TT39" s="2"/>
      <c r="TU39" s="2"/>
      <c r="TV39" s="2"/>
      <c r="TW39" s="2"/>
      <c r="TX39" s="2"/>
      <c r="TY39" s="2"/>
      <c r="TZ39" s="2"/>
      <c r="UA39" s="2"/>
      <c r="UB39" s="2"/>
      <c r="UC39" s="2"/>
      <c r="UD39" s="2"/>
      <c r="UE39" s="2"/>
      <c r="UF39" s="2"/>
      <c r="UG39" s="2"/>
      <c r="UH39" s="2"/>
      <c r="UI39" s="2"/>
      <c r="UJ39" s="2"/>
      <c r="UK39" s="2"/>
      <c r="UL39" s="2"/>
      <c r="UM39" s="2"/>
      <c r="UN39" s="2"/>
      <c r="UO39" s="2"/>
      <c r="UP39" s="2"/>
      <c r="UQ39" s="2"/>
      <c r="UR39" s="2"/>
      <c r="US39" s="2"/>
      <c r="UT39" s="2"/>
      <c r="UU39" s="2"/>
      <c r="UV39" s="2"/>
      <c r="UW39" s="2"/>
      <c r="UX39" s="2"/>
      <c r="UY39" s="2"/>
      <c r="UZ39" s="2"/>
      <c r="VA39" s="2"/>
      <c r="VB39" s="2"/>
      <c r="VC39" s="2"/>
      <c r="VD39" s="2"/>
      <c r="VE39" s="2"/>
      <c r="VF39" s="2"/>
      <c r="VG39" s="2"/>
      <c r="VH39" s="2"/>
      <c r="VI39" s="2"/>
      <c r="VJ39" s="2"/>
      <c r="VK39" s="2"/>
      <c r="VL39" s="2"/>
      <c r="VM39" s="2"/>
      <c r="VN39" s="2"/>
      <c r="VO39" s="2"/>
      <c r="VP39" s="2"/>
      <c r="VQ39" s="2"/>
      <c r="VR39" s="2"/>
      <c r="VS39" s="2"/>
      <c r="VT39" s="2"/>
      <c r="VU39" s="2"/>
      <c r="VV39" s="2"/>
      <c r="VW39" s="2"/>
      <c r="VX39" s="2"/>
      <c r="VY39" s="2"/>
      <c r="VZ39" s="2"/>
      <c r="WA39" s="2"/>
      <c r="WB39" s="2"/>
      <c r="WC39" s="2"/>
      <c r="WD39" s="2"/>
      <c r="WE39" s="2"/>
      <c r="WF39" s="2"/>
      <c r="WG39" s="2"/>
      <c r="WH39" s="2"/>
      <c r="WI39" s="2"/>
      <c r="WJ39" s="2"/>
      <c r="WK39" s="2"/>
      <c r="WL39" s="2"/>
      <c r="WM39" s="2"/>
      <c r="WN39" s="2"/>
      <c r="WO39" s="2"/>
      <c r="WP39" s="2"/>
      <c r="WQ39" s="2"/>
      <c r="WR39" s="2"/>
      <c r="WS39" s="2"/>
      <c r="WT39" s="2"/>
      <c r="WU39" s="2"/>
      <c r="WV39" s="2"/>
      <c r="WW39" s="2"/>
      <c r="WX39" s="2"/>
      <c r="WY39" s="2"/>
      <c r="WZ39" s="2"/>
      <c r="XA39" s="2"/>
      <c r="XB39" s="2"/>
      <c r="XC39" s="2"/>
      <c r="XD39" s="2"/>
      <c r="XE39" s="2"/>
      <c r="XF39" s="2"/>
      <c r="XG39" s="2"/>
      <c r="XH39" s="2"/>
      <c r="XI39" s="2"/>
      <c r="XJ39" s="2"/>
      <c r="XK39" s="2"/>
      <c r="XL39" s="2"/>
      <c r="XM39" s="2"/>
      <c r="XN39" s="2"/>
      <c r="XO39" s="2"/>
      <c r="XP39" s="2"/>
      <c r="XQ39" s="2"/>
      <c r="XR39" s="2"/>
      <c r="XS39" s="2"/>
      <c r="XT39" s="2"/>
      <c r="XU39" s="2"/>
      <c r="XV39" s="2"/>
      <c r="XW39" s="2"/>
      <c r="XX39" s="2"/>
      <c r="XY39" s="2"/>
      <c r="XZ39" s="2"/>
      <c r="YA39" s="2"/>
      <c r="YB39" s="2"/>
      <c r="YC39" s="2"/>
      <c r="YD39" s="2"/>
      <c r="YE39" s="2"/>
      <c r="YF39" s="2"/>
      <c r="YG39" s="2"/>
      <c r="YH39" s="2"/>
      <c r="YI39" s="2"/>
      <c r="YJ39" s="2"/>
      <c r="YK39" s="2"/>
      <c r="YL39" s="2"/>
      <c r="YM39" s="2"/>
      <c r="YN39" s="2"/>
      <c r="YO39" s="2"/>
      <c r="YP39" s="2"/>
      <c r="YQ39" s="2"/>
      <c r="YR39" s="2"/>
      <c r="YS39" s="2"/>
      <c r="YT39" s="2"/>
      <c r="YU39" s="2"/>
      <c r="YV39" s="2"/>
      <c r="YW39" s="2"/>
      <c r="YX39" s="2"/>
      <c r="YY39" s="2"/>
      <c r="YZ39" s="2"/>
      <c r="ZA39" s="2"/>
      <c r="ZB39" s="2"/>
      <c r="ZC39" s="2"/>
      <c r="ZD39" s="2"/>
      <c r="ZE39" s="2"/>
      <c r="ZF39" s="2"/>
      <c r="ZG39" s="2"/>
      <c r="ZH39" s="2"/>
      <c r="ZI39" s="2"/>
      <c r="ZJ39" s="2"/>
      <c r="ZK39" s="2"/>
      <c r="ZL39" s="2"/>
      <c r="ZM39" s="2"/>
      <c r="ZN39" s="2"/>
      <c r="ZO39" s="2"/>
      <c r="ZP39" s="2"/>
      <c r="ZQ39" s="2"/>
      <c r="ZR39" s="2"/>
      <c r="ZS39" s="2"/>
      <c r="ZT39" s="2"/>
      <c r="ZU39" s="2"/>
      <c r="ZV39" s="2"/>
      <c r="ZW39" s="2"/>
      <c r="ZX39" s="2"/>
      <c r="ZY39" s="2"/>
      <c r="ZZ39" s="2"/>
      <c r="AAA39" s="2"/>
      <c r="AAB39" s="2"/>
      <c r="AAC39" s="2"/>
      <c r="AAD39" s="2"/>
      <c r="AAE39" s="2"/>
      <c r="AAF39" s="2"/>
      <c r="AAG39" s="2"/>
      <c r="AAH39" s="2"/>
      <c r="AAI39" s="2"/>
      <c r="AAJ39" s="2"/>
      <c r="AAK39" s="2"/>
      <c r="AAL39" s="2"/>
      <c r="AAM39" s="2"/>
      <c r="AAN39" s="2"/>
      <c r="AAO39" s="2"/>
      <c r="AAP39" s="2"/>
      <c r="AAQ39" s="2"/>
      <c r="AAR39" s="2"/>
      <c r="AAS39" s="2"/>
      <c r="AAT39" s="2"/>
      <c r="AAU39" s="2"/>
      <c r="AAV39" s="2"/>
      <c r="AAW39" s="2"/>
      <c r="AAX39" s="2"/>
      <c r="AAY39" s="2"/>
      <c r="AAZ39" s="2"/>
      <c r="ABA39" s="2"/>
      <c r="ABB39" s="2"/>
      <c r="ABC39" s="2"/>
      <c r="ABD39" s="2"/>
      <c r="ABE39" s="2"/>
      <c r="ABF39" s="2"/>
      <c r="ABG39" s="2"/>
      <c r="ABH39" s="2"/>
      <c r="ABI39" s="2"/>
      <c r="ABJ39" s="2"/>
      <c r="ABK39" s="2"/>
      <c r="ABL39" s="2"/>
      <c r="ABM39" s="2"/>
      <c r="ABN39" s="2"/>
      <c r="ABO39" s="2"/>
      <c r="ABP39" s="2"/>
      <c r="ABQ39" s="2"/>
      <c r="ABR39" s="2"/>
      <c r="ABS39" s="2"/>
      <c r="ABT39" s="2"/>
      <c r="ABU39" s="2"/>
      <c r="ABV39" s="2"/>
      <c r="ABW39" s="2"/>
      <c r="ABX39" s="2"/>
      <c r="ABY39" s="2"/>
      <c r="ABZ39" s="2"/>
      <c r="ACA39" s="2"/>
      <c r="ACB39" s="2"/>
      <c r="ACC39" s="2"/>
      <c r="ACD39" s="2"/>
      <c r="ACE39" s="2"/>
      <c r="ACF39" s="2"/>
      <c r="ACG39" s="2"/>
      <c r="ACH39" s="2"/>
      <c r="ACI39" s="2"/>
      <c r="ACJ39" s="2"/>
      <c r="ACK39" s="2"/>
      <c r="ACL39" s="2"/>
      <c r="ACM39" s="2"/>
      <c r="ACN39" s="2"/>
      <c r="ACO39" s="2"/>
      <c r="ACP39" s="2"/>
      <c r="ACQ39" s="2"/>
      <c r="ACR39" s="2"/>
      <c r="ACS39" s="2"/>
      <c r="ACT39" s="2"/>
      <c r="ACU39" s="2"/>
      <c r="ACV39" s="2"/>
      <c r="ACW39" s="2"/>
      <c r="ACX39" s="2"/>
      <c r="ACY39" s="2"/>
      <c r="ACZ39" s="2"/>
      <c r="ADA39" s="2"/>
      <c r="ADB39" s="2"/>
      <c r="ADC39" s="2"/>
      <c r="ADD39" s="2"/>
      <c r="ADE39" s="2"/>
      <c r="ADF39" s="2"/>
      <c r="ADG39" s="2"/>
      <c r="ADH39" s="2"/>
      <c r="ADI39" s="2"/>
      <c r="ADJ39" s="2"/>
      <c r="ADK39" s="2"/>
      <c r="ADL39" s="2"/>
      <c r="ADM39" s="2"/>
      <c r="ADN39" s="2"/>
      <c r="ADO39" s="2"/>
      <c r="ADP39" s="2"/>
      <c r="ADQ39" s="2"/>
      <c r="ADR39" s="2"/>
      <c r="ADS39" s="2"/>
      <c r="ADT39" s="2"/>
      <c r="ADU39" s="2"/>
      <c r="ADV39" s="2"/>
      <c r="ADW39" s="2"/>
      <c r="ADX39" s="2"/>
      <c r="ADY39" s="2"/>
      <c r="ADZ39" s="2"/>
      <c r="AEA39" s="2"/>
      <c r="AEB39" s="2"/>
      <c r="AEC39" s="2"/>
      <c r="AED39" s="2"/>
      <c r="AEE39" s="2"/>
      <c r="AEF39" s="2"/>
      <c r="AEG39" s="2"/>
      <c r="AEH39" s="2"/>
      <c r="AEI39" s="2"/>
      <c r="AEJ39" s="2"/>
      <c r="AEK39" s="2"/>
      <c r="AEL39" s="2"/>
      <c r="AEM39" s="2"/>
      <c r="AEN39" s="2"/>
      <c r="AEO39" s="2"/>
      <c r="AEP39" s="2"/>
      <c r="AEQ39" s="2"/>
      <c r="AER39" s="2"/>
      <c r="AES39" s="2"/>
      <c r="AET39" s="2"/>
      <c r="AEU39" s="2"/>
      <c r="AEV39" s="2"/>
      <c r="AEW39" s="2"/>
      <c r="AEX39" s="2"/>
      <c r="AEY39" s="2"/>
      <c r="AEZ39" s="2"/>
      <c r="AFA39" s="2"/>
      <c r="AFB39" s="2"/>
      <c r="AFC39" s="2"/>
      <c r="AFD39" s="2"/>
      <c r="AFE39" s="2"/>
      <c r="AFF39" s="2"/>
      <c r="AFG39" s="2"/>
      <c r="AFH39" s="2"/>
      <c r="AFI39" s="2"/>
      <c r="AFJ39" s="2"/>
      <c r="AFK39" s="2"/>
      <c r="AFL39" s="2"/>
      <c r="AFM39" s="2"/>
      <c r="AFN39" s="2"/>
      <c r="AFO39" s="2"/>
      <c r="AFP39" s="2"/>
      <c r="AFQ39" s="2"/>
      <c r="AFR39" s="2"/>
      <c r="AFS39" s="2"/>
      <c r="AFT39" s="2"/>
      <c r="AFU39" s="2"/>
      <c r="AFV39" s="2"/>
      <c r="AFW39" s="2"/>
      <c r="AFX39" s="2"/>
      <c r="AFY39" s="2"/>
      <c r="AFZ39" s="2"/>
      <c r="AGA39" s="2"/>
      <c r="AGB39" s="2"/>
      <c r="AGC39" s="2"/>
      <c r="AGD39" s="2"/>
      <c r="AGE39" s="2"/>
      <c r="AGF39" s="2"/>
      <c r="AGG39" s="2"/>
      <c r="AGH39" s="2"/>
      <c r="AGI39" s="2"/>
      <c r="AGJ39" s="2"/>
      <c r="AGK39" s="2"/>
      <c r="AGL39" s="2"/>
      <c r="AGM39" s="2"/>
      <c r="AGN39" s="2"/>
      <c r="AGO39" s="2"/>
      <c r="AGP39" s="2"/>
      <c r="AGQ39" s="2"/>
      <c r="AGR39" s="2"/>
      <c r="AGS39" s="2"/>
      <c r="AGT39" s="2"/>
      <c r="AGU39" s="2"/>
      <c r="AGV39" s="2"/>
      <c r="AGW39" s="2"/>
      <c r="AGX39" s="2"/>
      <c r="AGY39" s="2"/>
      <c r="AGZ39" s="2"/>
      <c r="AHA39" s="2"/>
      <c r="AHB39" s="2"/>
      <c r="AHC39" s="2"/>
      <c r="AHD39" s="2"/>
      <c r="AHE39" s="2"/>
      <c r="AHF39" s="2"/>
      <c r="AHG39" s="2"/>
      <c r="AHH39" s="2"/>
      <c r="AHI39" s="2"/>
      <c r="AHJ39" s="2"/>
      <c r="AHK39" s="2"/>
      <c r="AHL39" s="2"/>
      <c r="AHM39" s="2"/>
      <c r="AHN39" s="2"/>
      <c r="AHO39" s="2"/>
      <c r="AHP39" s="2"/>
      <c r="AHQ39" s="2"/>
      <c r="AHR39" s="2"/>
      <c r="AHS39" s="2"/>
      <c r="AHT39" s="2"/>
      <c r="AHU39" s="2"/>
      <c r="AHV39" s="2"/>
      <c r="AHW39" s="2"/>
      <c r="AHX39" s="2"/>
      <c r="AHY39" s="2"/>
      <c r="AHZ39" s="2"/>
      <c r="AIA39" s="2"/>
      <c r="AIB39" s="2"/>
      <c r="AIC39" s="2"/>
      <c r="AID39" s="2"/>
      <c r="AIE39" s="2"/>
      <c r="AIF39" s="2"/>
      <c r="AIG39" s="2"/>
      <c r="AIH39" s="2"/>
      <c r="AII39" s="2"/>
      <c r="AIJ39" s="2"/>
      <c r="AIK39" s="2"/>
      <c r="AIL39" s="2"/>
      <c r="AIM39" s="2"/>
      <c r="AIN39" s="2"/>
      <c r="AIO39" s="2"/>
      <c r="AIP39" s="2"/>
      <c r="AIQ39" s="2"/>
      <c r="AIR39" s="2"/>
      <c r="AIS39" s="2"/>
      <c r="AIT39" s="2"/>
      <c r="AIU39" s="2"/>
      <c r="AIV39" s="2"/>
      <c r="AIW39" s="2"/>
      <c r="AIX39" s="2"/>
      <c r="AIY39" s="2"/>
      <c r="AIZ39" s="2"/>
      <c r="AJA39" s="2"/>
      <c r="AJB39" s="2"/>
      <c r="AJC39" s="2"/>
      <c r="AJD39" s="2"/>
      <c r="AJE39" s="2"/>
      <c r="AJF39" s="2"/>
      <c r="AJG39" s="2"/>
      <c r="AJH39" s="2"/>
      <c r="AJI39" s="2"/>
      <c r="AJJ39" s="2"/>
      <c r="AJK39" s="2"/>
      <c r="AJL39" s="2"/>
      <c r="AJM39" s="2"/>
      <c r="AJN39" s="2"/>
      <c r="AJO39" s="2"/>
      <c r="AJP39" s="2"/>
      <c r="AJQ39" s="2"/>
      <c r="AJR39" s="2"/>
      <c r="AJS39" s="2"/>
      <c r="AJT39" s="2"/>
      <c r="AJU39" s="2"/>
      <c r="AJV39" s="2"/>
      <c r="AJW39" s="2"/>
      <c r="AJX39" s="2"/>
      <c r="AJY39" s="2"/>
      <c r="AJZ39" s="2"/>
    </row>
    <row r="40" spans="1:962">
      <c r="A40" s="16">
        <v>39</v>
      </c>
      <c r="B40" s="7">
        <v>2</v>
      </c>
      <c r="C40" s="7">
        <v>5.59</v>
      </c>
      <c r="D40" s="7">
        <v>2.54</v>
      </c>
      <c r="E40" s="7">
        <v>2.58</v>
      </c>
      <c r="F40" s="7">
        <v>0.17</v>
      </c>
      <c r="G40" s="7">
        <v>80</v>
      </c>
      <c r="H40" s="17">
        <v>2</v>
      </c>
      <c r="I40" s="9">
        <f t="shared" si="0"/>
        <v>0.98449612403100772</v>
      </c>
      <c r="J40" s="9">
        <f t="shared" si="1"/>
        <v>6.589147286821706E-2</v>
      </c>
      <c r="K40" s="9">
        <f t="shared" si="2"/>
        <v>31.007751937984494</v>
      </c>
      <c r="L40" s="9">
        <f t="shared" si="3"/>
        <v>78.759689922480618</v>
      </c>
      <c r="M40" s="16">
        <v>14</v>
      </c>
      <c r="N40" s="16" t="s">
        <v>29</v>
      </c>
      <c r="O40" s="16">
        <v>3.8</v>
      </c>
      <c r="P40" s="7">
        <v>5.59</v>
      </c>
      <c r="Q40" s="7">
        <v>2.54</v>
      </c>
      <c r="R40" s="7">
        <v>2.58</v>
      </c>
      <c r="S40" s="7">
        <v>0.17</v>
      </c>
      <c r="T40" s="9">
        <v>5.2</v>
      </c>
      <c r="U40" s="9">
        <v>0.01</v>
      </c>
      <c r="V40" s="9">
        <v>0.01</v>
      </c>
      <c r="W40" s="18">
        <v>11.5</v>
      </c>
      <c r="X40" s="19">
        <v>148</v>
      </c>
      <c r="Y40" s="16">
        <v>0.43</v>
      </c>
      <c r="Z40" s="16">
        <v>80</v>
      </c>
      <c r="AA40" s="16">
        <v>0.2</v>
      </c>
      <c r="AB40" s="16">
        <v>2.5000000000000001E-2</v>
      </c>
      <c r="AC40" s="16">
        <v>152.5</v>
      </c>
      <c r="AD40" s="16">
        <v>4.28</v>
      </c>
      <c r="AE40" s="16">
        <v>116.3</v>
      </c>
      <c r="AF40" s="16"/>
      <c r="AG40" s="16"/>
      <c r="AH40" s="7">
        <v>21.96</v>
      </c>
      <c r="AI40" s="7">
        <v>239.18</v>
      </c>
      <c r="AJ40" s="16">
        <v>21.94</v>
      </c>
      <c r="AK40" s="16">
        <v>61.46</v>
      </c>
      <c r="AL40" s="16">
        <v>77.510000000000005</v>
      </c>
      <c r="AM40" s="16">
        <v>36.56</v>
      </c>
      <c r="AN40" s="16"/>
      <c r="AO40" s="16"/>
      <c r="AP40" s="16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</row>
    <row r="41" spans="1:962">
      <c r="A41" s="16">
        <v>40</v>
      </c>
      <c r="B41" s="7">
        <v>2</v>
      </c>
      <c r="C41" s="7">
        <v>10.83</v>
      </c>
      <c r="D41" s="7">
        <v>6.28</v>
      </c>
      <c r="E41" s="7">
        <v>3.35</v>
      </c>
      <c r="F41" s="7">
        <v>0.43</v>
      </c>
      <c r="G41" s="7">
        <v>552</v>
      </c>
      <c r="H41" s="17">
        <v>2</v>
      </c>
      <c r="I41" s="9">
        <f t="shared" si="0"/>
        <v>1.8746268656716418</v>
      </c>
      <c r="J41" s="9">
        <f t="shared" si="1"/>
        <v>0.12835820895522387</v>
      </c>
      <c r="K41" s="9">
        <f t="shared" si="2"/>
        <v>164.77611940298507</v>
      </c>
      <c r="L41" s="9">
        <f t="shared" si="3"/>
        <v>1034.7940298507463</v>
      </c>
      <c r="M41" s="16"/>
      <c r="N41" s="16" t="s">
        <v>28</v>
      </c>
      <c r="O41" s="16"/>
      <c r="P41" s="7">
        <v>10.83</v>
      </c>
      <c r="Q41" s="7">
        <v>6.28</v>
      </c>
      <c r="R41" s="7">
        <v>3.35</v>
      </c>
      <c r="S41" s="7">
        <v>0.43</v>
      </c>
      <c r="T41" s="9">
        <v>0.76</v>
      </c>
      <c r="U41" s="9">
        <v>0</v>
      </c>
      <c r="V41" s="9">
        <v>0.01</v>
      </c>
      <c r="W41" s="18">
        <v>8.65</v>
      </c>
      <c r="X41" s="19">
        <v>115</v>
      </c>
      <c r="Y41" s="16">
        <v>0.35</v>
      </c>
      <c r="Z41" s="16">
        <v>552</v>
      </c>
      <c r="AA41" s="16">
        <v>0.3</v>
      </c>
      <c r="AB41" s="16">
        <v>2.9000000000000001E-2</v>
      </c>
      <c r="AC41" s="16"/>
      <c r="AD41" s="16"/>
      <c r="AE41" s="16"/>
      <c r="AF41" s="16"/>
      <c r="AG41" s="16"/>
      <c r="AH41" s="7">
        <v>14.39</v>
      </c>
      <c r="AI41" s="7">
        <v>178.72</v>
      </c>
      <c r="AJ41" s="16"/>
      <c r="AK41" s="16">
        <v>115.52</v>
      </c>
      <c r="AL41" s="16"/>
      <c r="AM41" s="16"/>
      <c r="AN41" s="16"/>
      <c r="AO41" s="16"/>
      <c r="AP41" s="16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  <c r="SG41" s="2"/>
      <c r="SH41" s="2"/>
      <c r="SI41" s="2"/>
      <c r="SJ41" s="2"/>
      <c r="SK41" s="2"/>
      <c r="SL41" s="2"/>
      <c r="SM41" s="2"/>
      <c r="SN41" s="2"/>
      <c r="SO41" s="2"/>
      <c r="SP41" s="2"/>
      <c r="SQ41" s="2"/>
      <c r="SR41" s="2"/>
      <c r="SS41" s="2"/>
      <c r="ST41" s="2"/>
      <c r="SU41" s="2"/>
      <c r="SV41" s="2"/>
      <c r="SW41" s="2"/>
      <c r="SX41" s="2"/>
      <c r="SY41" s="2"/>
      <c r="SZ41" s="2"/>
      <c r="TA41" s="2"/>
      <c r="TB41" s="2"/>
      <c r="TC41" s="2"/>
      <c r="TD41" s="2"/>
      <c r="TE41" s="2"/>
      <c r="TF41" s="2"/>
      <c r="TG41" s="2"/>
      <c r="TH41" s="2"/>
      <c r="TI41" s="2"/>
      <c r="TJ41" s="2"/>
      <c r="TK41" s="2"/>
      <c r="TL41" s="2"/>
      <c r="TM41" s="2"/>
      <c r="TN41" s="2"/>
      <c r="TO41" s="2"/>
      <c r="TP41" s="2"/>
      <c r="TQ41" s="2"/>
      <c r="TR41" s="2"/>
      <c r="TS41" s="2"/>
      <c r="TT41" s="2"/>
      <c r="TU41" s="2"/>
      <c r="TV41" s="2"/>
      <c r="TW41" s="2"/>
      <c r="TX41" s="2"/>
      <c r="TY41" s="2"/>
      <c r="TZ41" s="2"/>
      <c r="UA41" s="2"/>
      <c r="UB41" s="2"/>
      <c r="UC41" s="2"/>
      <c r="UD41" s="2"/>
      <c r="UE41" s="2"/>
      <c r="UF41" s="2"/>
      <c r="UG41" s="2"/>
      <c r="UH41" s="2"/>
      <c r="UI41" s="2"/>
      <c r="UJ41" s="2"/>
      <c r="UK41" s="2"/>
      <c r="UL41" s="2"/>
      <c r="UM41" s="2"/>
      <c r="UN41" s="2"/>
      <c r="UO41" s="2"/>
      <c r="UP41" s="2"/>
      <c r="UQ41" s="2"/>
      <c r="UR41" s="2"/>
      <c r="US41" s="2"/>
      <c r="UT41" s="2"/>
      <c r="UU41" s="2"/>
      <c r="UV41" s="2"/>
      <c r="UW41" s="2"/>
      <c r="UX41" s="2"/>
      <c r="UY41" s="2"/>
      <c r="UZ41" s="2"/>
      <c r="VA41" s="2"/>
      <c r="VB41" s="2"/>
      <c r="VC41" s="2"/>
      <c r="VD41" s="2"/>
      <c r="VE41" s="2"/>
      <c r="VF41" s="2"/>
      <c r="VG41" s="2"/>
      <c r="VH41" s="2"/>
      <c r="VI41" s="2"/>
      <c r="VJ41" s="2"/>
      <c r="VK41" s="2"/>
      <c r="VL41" s="2"/>
      <c r="VM41" s="2"/>
      <c r="VN41" s="2"/>
      <c r="VO41" s="2"/>
      <c r="VP41" s="2"/>
      <c r="VQ41" s="2"/>
      <c r="VR41" s="2"/>
      <c r="VS41" s="2"/>
      <c r="VT41" s="2"/>
      <c r="VU41" s="2"/>
      <c r="VV41" s="2"/>
      <c r="VW41" s="2"/>
      <c r="VX41" s="2"/>
      <c r="VY41" s="2"/>
      <c r="VZ41" s="2"/>
      <c r="WA41" s="2"/>
      <c r="WB41" s="2"/>
      <c r="WC41" s="2"/>
      <c r="WD41" s="2"/>
      <c r="WE41" s="2"/>
      <c r="WF41" s="2"/>
      <c r="WG41" s="2"/>
      <c r="WH41" s="2"/>
      <c r="WI41" s="2"/>
      <c r="WJ41" s="2"/>
      <c r="WK41" s="2"/>
      <c r="WL41" s="2"/>
      <c r="WM41" s="2"/>
      <c r="WN41" s="2"/>
      <c r="WO41" s="2"/>
      <c r="WP41" s="2"/>
      <c r="WQ41" s="2"/>
      <c r="WR41" s="2"/>
      <c r="WS41" s="2"/>
      <c r="WT41" s="2"/>
      <c r="WU41" s="2"/>
      <c r="WV41" s="2"/>
      <c r="WW41" s="2"/>
      <c r="WX41" s="2"/>
      <c r="WY41" s="2"/>
      <c r="WZ41" s="2"/>
      <c r="XA41" s="2"/>
      <c r="XB41" s="2"/>
      <c r="XC41" s="2"/>
      <c r="XD41" s="2"/>
      <c r="XE41" s="2"/>
      <c r="XF41" s="2"/>
      <c r="XG41" s="2"/>
      <c r="XH41" s="2"/>
      <c r="XI41" s="2"/>
      <c r="XJ41" s="2"/>
      <c r="XK41" s="2"/>
      <c r="XL41" s="2"/>
      <c r="XM41" s="2"/>
      <c r="XN41" s="2"/>
      <c r="XO41" s="2"/>
      <c r="XP41" s="2"/>
      <c r="XQ41" s="2"/>
      <c r="XR41" s="2"/>
      <c r="XS41" s="2"/>
      <c r="XT41" s="2"/>
      <c r="XU41" s="2"/>
      <c r="XV41" s="2"/>
      <c r="XW41" s="2"/>
      <c r="XX41" s="2"/>
      <c r="XY41" s="2"/>
      <c r="XZ41" s="2"/>
      <c r="YA41" s="2"/>
      <c r="YB41" s="2"/>
      <c r="YC41" s="2"/>
      <c r="YD41" s="2"/>
      <c r="YE41" s="2"/>
      <c r="YF41" s="2"/>
      <c r="YG41" s="2"/>
      <c r="YH41" s="2"/>
      <c r="YI41" s="2"/>
      <c r="YJ41" s="2"/>
      <c r="YK41" s="2"/>
      <c r="YL41" s="2"/>
      <c r="YM41" s="2"/>
      <c r="YN41" s="2"/>
      <c r="YO41" s="2"/>
      <c r="YP41" s="2"/>
      <c r="YQ41" s="2"/>
      <c r="YR41" s="2"/>
      <c r="YS41" s="2"/>
      <c r="YT41" s="2"/>
      <c r="YU41" s="2"/>
      <c r="YV41" s="2"/>
      <c r="YW41" s="2"/>
      <c r="YX41" s="2"/>
      <c r="YY41" s="2"/>
      <c r="YZ41" s="2"/>
      <c r="ZA41" s="2"/>
      <c r="ZB41" s="2"/>
      <c r="ZC41" s="2"/>
      <c r="ZD41" s="2"/>
      <c r="ZE41" s="2"/>
      <c r="ZF41" s="2"/>
      <c r="ZG41" s="2"/>
      <c r="ZH41" s="2"/>
      <c r="ZI41" s="2"/>
      <c r="ZJ41" s="2"/>
      <c r="ZK41" s="2"/>
      <c r="ZL41" s="2"/>
      <c r="ZM41" s="2"/>
      <c r="ZN41" s="2"/>
      <c r="ZO41" s="2"/>
      <c r="ZP41" s="2"/>
      <c r="ZQ41" s="2"/>
      <c r="ZR41" s="2"/>
      <c r="ZS41" s="2"/>
      <c r="ZT41" s="2"/>
      <c r="ZU41" s="2"/>
      <c r="ZV41" s="2"/>
      <c r="ZW41" s="2"/>
      <c r="ZX41" s="2"/>
      <c r="ZY41" s="2"/>
      <c r="ZZ41" s="2"/>
      <c r="AAA41" s="2"/>
      <c r="AAB41" s="2"/>
      <c r="AAC41" s="2"/>
      <c r="AAD41" s="2"/>
      <c r="AAE41" s="2"/>
      <c r="AAF41" s="2"/>
      <c r="AAG41" s="2"/>
      <c r="AAH41" s="2"/>
      <c r="AAI41" s="2"/>
      <c r="AAJ41" s="2"/>
      <c r="AAK41" s="2"/>
      <c r="AAL41" s="2"/>
      <c r="AAM41" s="2"/>
      <c r="AAN41" s="2"/>
      <c r="AAO41" s="2"/>
      <c r="AAP41" s="2"/>
      <c r="AAQ41" s="2"/>
      <c r="AAR41" s="2"/>
      <c r="AAS41" s="2"/>
      <c r="AAT41" s="2"/>
      <c r="AAU41" s="2"/>
      <c r="AAV41" s="2"/>
      <c r="AAW41" s="2"/>
      <c r="AAX41" s="2"/>
      <c r="AAY41" s="2"/>
      <c r="AAZ41" s="2"/>
      <c r="ABA41" s="2"/>
      <c r="ABB41" s="2"/>
      <c r="ABC41" s="2"/>
      <c r="ABD41" s="2"/>
      <c r="ABE41" s="2"/>
      <c r="ABF41" s="2"/>
      <c r="ABG41" s="2"/>
      <c r="ABH41" s="2"/>
      <c r="ABI41" s="2"/>
      <c r="ABJ41" s="2"/>
      <c r="ABK41" s="2"/>
      <c r="ABL41" s="2"/>
      <c r="ABM41" s="2"/>
      <c r="ABN41" s="2"/>
      <c r="ABO41" s="2"/>
      <c r="ABP41" s="2"/>
      <c r="ABQ41" s="2"/>
      <c r="ABR41" s="2"/>
      <c r="ABS41" s="2"/>
      <c r="ABT41" s="2"/>
      <c r="ABU41" s="2"/>
      <c r="ABV41" s="2"/>
      <c r="ABW41" s="2"/>
      <c r="ABX41" s="2"/>
      <c r="ABY41" s="2"/>
      <c r="ABZ41" s="2"/>
      <c r="ACA41" s="2"/>
      <c r="ACB41" s="2"/>
      <c r="ACC41" s="2"/>
      <c r="ACD41" s="2"/>
      <c r="ACE41" s="2"/>
      <c r="ACF41" s="2"/>
      <c r="ACG41" s="2"/>
      <c r="ACH41" s="2"/>
      <c r="ACI41" s="2"/>
      <c r="ACJ41" s="2"/>
      <c r="ACK41" s="2"/>
      <c r="ACL41" s="2"/>
      <c r="ACM41" s="2"/>
      <c r="ACN41" s="2"/>
      <c r="ACO41" s="2"/>
      <c r="ACP41" s="2"/>
      <c r="ACQ41" s="2"/>
      <c r="ACR41" s="2"/>
      <c r="ACS41" s="2"/>
      <c r="ACT41" s="2"/>
      <c r="ACU41" s="2"/>
      <c r="ACV41" s="2"/>
      <c r="ACW41" s="2"/>
      <c r="ACX41" s="2"/>
      <c r="ACY41" s="2"/>
      <c r="ACZ41" s="2"/>
      <c r="ADA41" s="2"/>
      <c r="ADB41" s="2"/>
      <c r="ADC41" s="2"/>
      <c r="ADD41" s="2"/>
      <c r="ADE41" s="2"/>
      <c r="ADF41" s="2"/>
      <c r="ADG41" s="2"/>
      <c r="ADH41" s="2"/>
      <c r="ADI41" s="2"/>
      <c r="ADJ41" s="2"/>
      <c r="ADK41" s="2"/>
      <c r="ADL41" s="2"/>
      <c r="ADM41" s="2"/>
      <c r="ADN41" s="2"/>
      <c r="ADO41" s="2"/>
      <c r="ADP41" s="2"/>
      <c r="ADQ41" s="2"/>
      <c r="ADR41" s="2"/>
      <c r="ADS41" s="2"/>
      <c r="ADT41" s="2"/>
      <c r="ADU41" s="2"/>
      <c r="ADV41" s="2"/>
      <c r="ADW41" s="2"/>
      <c r="ADX41" s="2"/>
      <c r="ADY41" s="2"/>
      <c r="ADZ41" s="2"/>
      <c r="AEA41" s="2"/>
      <c r="AEB41" s="2"/>
      <c r="AEC41" s="2"/>
      <c r="AED41" s="2"/>
      <c r="AEE41" s="2"/>
      <c r="AEF41" s="2"/>
      <c r="AEG41" s="2"/>
      <c r="AEH41" s="2"/>
      <c r="AEI41" s="2"/>
      <c r="AEJ41" s="2"/>
      <c r="AEK41" s="2"/>
      <c r="AEL41" s="2"/>
      <c r="AEM41" s="2"/>
      <c r="AEN41" s="2"/>
      <c r="AEO41" s="2"/>
      <c r="AEP41" s="2"/>
      <c r="AEQ41" s="2"/>
      <c r="AER41" s="2"/>
      <c r="AES41" s="2"/>
      <c r="AET41" s="2"/>
      <c r="AEU41" s="2"/>
      <c r="AEV41" s="2"/>
      <c r="AEW41" s="2"/>
      <c r="AEX41" s="2"/>
      <c r="AEY41" s="2"/>
      <c r="AEZ41" s="2"/>
      <c r="AFA41" s="2"/>
      <c r="AFB41" s="2"/>
      <c r="AFC41" s="2"/>
      <c r="AFD41" s="2"/>
      <c r="AFE41" s="2"/>
      <c r="AFF41" s="2"/>
      <c r="AFG41" s="2"/>
      <c r="AFH41" s="2"/>
      <c r="AFI41" s="2"/>
      <c r="AFJ41" s="2"/>
      <c r="AFK41" s="2"/>
      <c r="AFL41" s="2"/>
      <c r="AFM41" s="2"/>
      <c r="AFN41" s="2"/>
      <c r="AFO41" s="2"/>
      <c r="AFP41" s="2"/>
      <c r="AFQ41" s="2"/>
      <c r="AFR41" s="2"/>
      <c r="AFS41" s="2"/>
      <c r="AFT41" s="2"/>
      <c r="AFU41" s="2"/>
      <c r="AFV41" s="2"/>
      <c r="AFW41" s="2"/>
      <c r="AFX41" s="2"/>
      <c r="AFY41" s="2"/>
      <c r="AFZ41" s="2"/>
      <c r="AGA41" s="2"/>
      <c r="AGB41" s="2"/>
      <c r="AGC41" s="2"/>
      <c r="AGD41" s="2"/>
      <c r="AGE41" s="2"/>
      <c r="AGF41" s="2"/>
      <c r="AGG41" s="2"/>
      <c r="AGH41" s="2"/>
      <c r="AGI41" s="2"/>
      <c r="AGJ41" s="2"/>
      <c r="AGK41" s="2"/>
      <c r="AGL41" s="2"/>
      <c r="AGM41" s="2"/>
      <c r="AGN41" s="2"/>
      <c r="AGO41" s="2"/>
      <c r="AGP41" s="2"/>
      <c r="AGQ41" s="2"/>
      <c r="AGR41" s="2"/>
      <c r="AGS41" s="2"/>
      <c r="AGT41" s="2"/>
      <c r="AGU41" s="2"/>
      <c r="AGV41" s="2"/>
      <c r="AGW41" s="2"/>
      <c r="AGX41" s="2"/>
      <c r="AGY41" s="2"/>
      <c r="AGZ41" s="2"/>
      <c r="AHA41" s="2"/>
      <c r="AHB41" s="2"/>
      <c r="AHC41" s="2"/>
      <c r="AHD41" s="2"/>
      <c r="AHE41" s="2"/>
      <c r="AHF41" s="2"/>
      <c r="AHG41" s="2"/>
      <c r="AHH41" s="2"/>
      <c r="AHI41" s="2"/>
      <c r="AHJ41" s="2"/>
      <c r="AHK41" s="2"/>
      <c r="AHL41" s="2"/>
      <c r="AHM41" s="2"/>
      <c r="AHN41" s="2"/>
      <c r="AHO41" s="2"/>
      <c r="AHP41" s="2"/>
      <c r="AHQ41" s="2"/>
      <c r="AHR41" s="2"/>
      <c r="AHS41" s="2"/>
      <c r="AHT41" s="2"/>
      <c r="AHU41" s="2"/>
      <c r="AHV41" s="2"/>
      <c r="AHW41" s="2"/>
      <c r="AHX41" s="2"/>
      <c r="AHY41" s="2"/>
      <c r="AHZ41" s="2"/>
      <c r="AIA41" s="2"/>
      <c r="AIB41" s="2"/>
      <c r="AIC41" s="2"/>
      <c r="AID41" s="2"/>
      <c r="AIE41" s="2"/>
      <c r="AIF41" s="2"/>
      <c r="AIG41" s="2"/>
      <c r="AIH41" s="2"/>
      <c r="AII41" s="2"/>
      <c r="AIJ41" s="2"/>
      <c r="AIK41" s="2"/>
      <c r="AIL41" s="2"/>
      <c r="AIM41" s="2"/>
      <c r="AIN41" s="2"/>
      <c r="AIO41" s="2"/>
      <c r="AIP41" s="2"/>
      <c r="AIQ41" s="2"/>
      <c r="AIR41" s="2"/>
      <c r="AIS41" s="2"/>
      <c r="AIT41" s="2"/>
      <c r="AIU41" s="2"/>
      <c r="AIV41" s="2"/>
      <c r="AIW41" s="2"/>
      <c r="AIX41" s="2"/>
      <c r="AIY41" s="2"/>
      <c r="AIZ41" s="2"/>
      <c r="AJA41" s="2"/>
      <c r="AJB41" s="2"/>
      <c r="AJC41" s="2"/>
      <c r="AJD41" s="2"/>
      <c r="AJE41" s="2"/>
      <c r="AJF41" s="2"/>
      <c r="AJG41" s="2"/>
      <c r="AJH41" s="2"/>
      <c r="AJI41" s="2"/>
      <c r="AJJ41" s="2"/>
      <c r="AJK41" s="2"/>
      <c r="AJL41" s="2"/>
      <c r="AJM41" s="2"/>
      <c r="AJN41" s="2"/>
      <c r="AJO41" s="2"/>
      <c r="AJP41" s="2"/>
      <c r="AJQ41" s="2"/>
      <c r="AJR41" s="2"/>
      <c r="AJS41" s="2"/>
      <c r="AJT41" s="2"/>
      <c r="AJU41" s="2"/>
      <c r="AJV41" s="2"/>
      <c r="AJW41" s="2"/>
      <c r="AJX41" s="2"/>
      <c r="AJY41" s="2"/>
      <c r="AJZ41" s="2"/>
    </row>
    <row r="42" spans="1:962">
      <c r="A42" s="16">
        <v>41</v>
      </c>
      <c r="B42" s="7">
        <v>2</v>
      </c>
      <c r="C42" s="7">
        <v>6.18</v>
      </c>
      <c r="D42" s="7">
        <v>3.29</v>
      </c>
      <c r="E42" s="7">
        <v>1.95</v>
      </c>
      <c r="F42" s="7">
        <v>0.7</v>
      </c>
      <c r="G42" s="7">
        <v>248</v>
      </c>
      <c r="H42" s="17">
        <v>2</v>
      </c>
      <c r="I42" s="9">
        <f t="shared" si="0"/>
        <v>1.6871794871794872</v>
      </c>
      <c r="J42" s="9">
        <f t="shared" si="1"/>
        <v>0.35897435897435898</v>
      </c>
      <c r="K42" s="9">
        <f t="shared" si="2"/>
        <v>127.17948717948718</v>
      </c>
      <c r="L42" s="9">
        <f t="shared" si="3"/>
        <v>418.42051282051278</v>
      </c>
      <c r="M42" s="16">
        <v>9</v>
      </c>
      <c r="N42" s="16" t="s">
        <v>32</v>
      </c>
      <c r="O42" s="16">
        <v>5.66</v>
      </c>
      <c r="P42" s="7">
        <v>6.18</v>
      </c>
      <c r="Q42" s="7">
        <v>3.29</v>
      </c>
      <c r="R42" s="7">
        <v>1.95</v>
      </c>
      <c r="S42" s="7">
        <v>0.7</v>
      </c>
      <c r="T42" s="9">
        <v>0.23</v>
      </c>
      <c r="U42" s="9">
        <v>0</v>
      </c>
      <c r="V42" s="9">
        <v>0</v>
      </c>
      <c r="W42" s="18">
        <v>8.3000000000000007</v>
      </c>
      <c r="X42" s="19">
        <v>126</v>
      </c>
      <c r="Y42" s="16">
        <v>0.35</v>
      </c>
      <c r="Z42" s="16">
        <v>248</v>
      </c>
      <c r="AA42" s="16">
        <v>0.3</v>
      </c>
      <c r="AB42" s="16">
        <v>2.3E-2</v>
      </c>
      <c r="AC42" s="16"/>
      <c r="AD42" s="16"/>
      <c r="AE42" s="16"/>
      <c r="AF42" s="16"/>
      <c r="AG42" s="16"/>
      <c r="AH42" s="7">
        <v>12.91</v>
      </c>
      <c r="AI42" s="7">
        <v>164.08</v>
      </c>
      <c r="AJ42" s="16">
        <v>49.12</v>
      </c>
      <c r="AK42" s="16">
        <v>167.13</v>
      </c>
      <c r="AM42" s="16"/>
      <c r="AN42" s="16"/>
      <c r="AO42" s="16"/>
      <c r="AP42" s="16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</row>
    <row r="43" spans="1:962">
      <c r="A43" s="16">
        <v>42</v>
      </c>
      <c r="B43" s="7">
        <v>2</v>
      </c>
      <c r="C43" s="7">
        <v>12.27</v>
      </c>
      <c r="D43" s="7">
        <v>7.57</v>
      </c>
      <c r="E43" s="7">
        <v>3.37</v>
      </c>
      <c r="F43" s="7">
        <v>0.44</v>
      </c>
      <c r="G43" s="7">
        <v>413</v>
      </c>
      <c r="H43" s="17">
        <v>2</v>
      </c>
      <c r="I43" s="9">
        <f t="shared" si="0"/>
        <v>2.2462908011869436</v>
      </c>
      <c r="J43" s="9">
        <f t="shared" si="1"/>
        <v>0.13056379821958455</v>
      </c>
      <c r="K43" s="9">
        <f t="shared" si="2"/>
        <v>122.55192878338279</v>
      </c>
      <c r="L43" s="9">
        <f t="shared" si="3"/>
        <v>927.71810089020778</v>
      </c>
      <c r="M43" s="16">
        <v>14</v>
      </c>
      <c r="N43" s="16" t="s">
        <v>31</v>
      </c>
      <c r="O43" s="16">
        <v>3.85</v>
      </c>
      <c r="P43" s="7">
        <v>12.27</v>
      </c>
      <c r="Q43" s="7">
        <v>7.57</v>
      </c>
      <c r="R43" s="7">
        <v>3.37</v>
      </c>
      <c r="S43" s="7">
        <v>0.44</v>
      </c>
      <c r="T43" s="9">
        <v>0.87</v>
      </c>
      <c r="U43" s="9">
        <v>0</v>
      </c>
      <c r="V43" s="9">
        <v>0.01</v>
      </c>
      <c r="W43" s="18">
        <v>8.98</v>
      </c>
      <c r="X43" s="19">
        <v>134</v>
      </c>
      <c r="Y43" s="16">
        <v>0.4</v>
      </c>
      <c r="Z43" s="16">
        <v>413</v>
      </c>
      <c r="AA43" s="16">
        <v>0.3</v>
      </c>
      <c r="AB43" s="16">
        <v>2.3E-2</v>
      </c>
      <c r="AC43" s="16"/>
      <c r="AD43" s="16"/>
      <c r="AE43" s="16"/>
      <c r="AF43" s="16"/>
      <c r="AG43" s="16"/>
      <c r="AH43" s="7">
        <v>14.29</v>
      </c>
      <c r="AI43" s="7">
        <v>240.29</v>
      </c>
      <c r="AJ43" s="16"/>
      <c r="AK43" s="16"/>
      <c r="AL43" s="16"/>
      <c r="AM43" s="16"/>
      <c r="AN43" s="16"/>
      <c r="AO43" s="16"/>
      <c r="AP43" s="16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</row>
    <row r="44" spans="1:962">
      <c r="A44" s="16">
        <v>43</v>
      </c>
      <c r="B44" s="8">
        <v>1</v>
      </c>
      <c r="C44" s="9">
        <v>7.78</v>
      </c>
      <c r="D44" s="9">
        <v>5.51</v>
      </c>
      <c r="E44" s="9">
        <v>2.44</v>
      </c>
      <c r="F44" s="9">
        <v>0.16</v>
      </c>
      <c r="G44" s="9">
        <v>80</v>
      </c>
      <c r="H44" s="17">
        <v>2</v>
      </c>
      <c r="I44" s="9">
        <f t="shared" si="0"/>
        <v>2.2581967213114753</v>
      </c>
      <c r="J44" s="9">
        <f t="shared" si="1"/>
        <v>6.5573770491803282E-2</v>
      </c>
      <c r="K44" s="9">
        <f t="shared" si="2"/>
        <v>32.786885245901637</v>
      </c>
      <c r="L44" s="9">
        <f t="shared" si="3"/>
        <v>180.65573770491801</v>
      </c>
      <c r="M44" s="8">
        <v>5</v>
      </c>
      <c r="N44" s="9" t="s">
        <v>26</v>
      </c>
      <c r="O44" s="9">
        <v>5</v>
      </c>
      <c r="P44" s="9">
        <v>7.78</v>
      </c>
      <c r="Q44" s="9">
        <v>5.51</v>
      </c>
      <c r="R44" s="9">
        <v>2.44</v>
      </c>
      <c r="S44" s="9">
        <v>0.16</v>
      </c>
      <c r="T44" s="9">
        <v>0.66</v>
      </c>
      <c r="U44" s="9">
        <v>0</v>
      </c>
      <c r="V44" s="9">
        <v>0.01</v>
      </c>
      <c r="W44" s="9">
        <v>8.1999999999999993</v>
      </c>
      <c r="X44" s="20">
        <v>111</v>
      </c>
      <c r="Y44" s="9">
        <v>0.37</v>
      </c>
      <c r="Z44" s="9">
        <v>80</v>
      </c>
      <c r="AA44" s="9">
        <v>0.7</v>
      </c>
      <c r="AB44" s="24">
        <v>5.8999999999999997E-2</v>
      </c>
      <c r="AC44" s="9">
        <v>154.80000000000001</v>
      </c>
      <c r="AD44" s="9">
        <v>4.3</v>
      </c>
      <c r="AE44" s="9">
        <v>124</v>
      </c>
      <c r="AF44" s="9">
        <v>2.5299999999999998</v>
      </c>
      <c r="AG44" s="9">
        <v>1.17</v>
      </c>
      <c r="AH44" s="9">
        <v>10.75</v>
      </c>
      <c r="AI44" s="9">
        <v>142.35</v>
      </c>
      <c r="AJ44" s="9">
        <v>13.9</v>
      </c>
      <c r="AK44" s="9">
        <v>45</v>
      </c>
      <c r="AL44" s="9">
        <v>78.23</v>
      </c>
      <c r="AM44" s="9">
        <v>29.75</v>
      </c>
      <c r="AN44" s="24">
        <v>1.07</v>
      </c>
      <c r="AO44" s="9">
        <v>0.15</v>
      </c>
    </row>
    <row r="45" spans="1:962">
      <c r="A45" s="16">
        <v>44</v>
      </c>
      <c r="B45" s="8">
        <v>1</v>
      </c>
      <c r="C45" s="9">
        <v>5.15</v>
      </c>
      <c r="D45" s="9">
        <v>3.01</v>
      </c>
      <c r="E45" s="9">
        <v>1.67</v>
      </c>
      <c r="F45" s="9">
        <v>0.08</v>
      </c>
      <c r="G45" s="9">
        <v>175</v>
      </c>
      <c r="H45" s="17">
        <v>2</v>
      </c>
      <c r="I45" s="9">
        <f t="shared" si="0"/>
        <v>1.8023952095808382</v>
      </c>
      <c r="J45" s="9">
        <f t="shared" si="1"/>
        <v>4.790419161676647E-2</v>
      </c>
      <c r="K45" s="9">
        <f t="shared" si="2"/>
        <v>104.79041916167665</v>
      </c>
      <c r="L45" s="9">
        <f t="shared" si="3"/>
        <v>315.4191616766467</v>
      </c>
      <c r="M45" s="8">
        <v>12</v>
      </c>
      <c r="N45" s="9" t="s">
        <v>28</v>
      </c>
      <c r="O45" s="9">
        <v>4.0999999999999996</v>
      </c>
      <c r="P45" s="9">
        <v>5.15</v>
      </c>
      <c r="Q45" s="9">
        <v>3.01</v>
      </c>
      <c r="R45" s="9">
        <v>1.67</v>
      </c>
      <c r="S45" s="9">
        <v>0.08</v>
      </c>
      <c r="T45" s="9">
        <v>0.39</v>
      </c>
      <c r="U45" s="9">
        <v>0</v>
      </c>
      <c r="V45" s="9">
        <v>0</v>
      </c>
      <c r="W45" s="9">
        <v>9.5399999999999991</v>
      </c>
      <c r="X45" s="20">
        <v>133</v>
      </c>
      <c r="Y45" s="9">
        <v>0.44</v>
      </c>
      <c r="Z45" s="9">
        <v>175</v>
      </c>
      <c r="AA45" s="9">
        <v>0.4</v>
      </c>
      <c r="AB45" s="24">
        <v>0.04</v>
      </c>
      <c r="AC45" s="9">
        <v>154.1</v>
      </c>
      <c r="AD45" s="9">
        <v>4.59</v>
      </c>
      <c r="AE45" s="9">
        <v>122.4</v>
      </c>
      <c r="AF45" s="9">
        <v>2.58</v>
      </c>
      <c r="AG45" s="9">
        <v>1.17</v>
      </c>
      <c r="AH45" s="9">
        <v>9.6300000000000008</v>
      </c>
      <c r="AI45" s="9">
        <v>126.05</v>
      </c>
      <c r="AJ45" s="9">
        <v>21.2</v>
      </c>
      <c r="AK45" s="9">
        <v>50.6</v>
      </c>
      <c r="AL45" s="9">
        <v>73.64</v>
      </c>
      <c r="AM45" s="9">
        <v>32.42</v>
      </c>
      <c r="AN45" s="24">
        <v>1.054</v>
      </c>
      <c r="AO45" s="9">
        <v>0.09</v>
      </c>
    </row>
    <row r="46" spans="1:962">
      <c r="A46" s="16">
        <v>45</v>
      </c>
      <c r="B46" s="8">
        <v>1</v>
      </c>
      <c r="C46" s="9">
        <v>2.63</v>
      </c>
      <c r="D46" s="9">
        <v>1.65</v>
      </c>
      <c r="E46" s="9">
        <v>0.44</v>
      </c>
      <c r="F46" s="9">
        <v>0.09</v>
      </c>
      <c r="G46" s="9">
        <v>217</v>
      </c>
      <c r="H46" s="17">
        <v>2</v>
      </c>
      <c r="I46" s="9">
        <f t="shared" si="0"/>
        <v>3.75</v>
      </c>
      <c r="J46" s="9">
        <f t="shared" si="1"/>
        <v>0.20454545454545453</v>
      </c>
      <c r="K46" s="9">
        <f t="shared" si="2"/>
        <v>493.18181818181819</v>
      </c>
      <c r="L46" s="9">
        <f t="shared" si="3"/>
        <v>813.74999999999989</v>
      </c>
      <c r="M46" s="8">
        <v>15</v>
      </c>
      <c r="N46" s="9" t="s">
        <v>26</v>
      </c>
      <c r="O46" s="9">
        <v>4.5599999999999996</v>
      </c>
      <c r="P46" s="9">
        <v>2.63</v>
      </c>
      <c r="Q46" s="9">
        <v>1.65</v>
      </c>
      <c r="R46" s="9">
        <v>0.44</v>
      </c>
      <c r="S46" s="9">
        <v>0.09</v>
      </c>
      <c r="T46" s="9">
        <v>0.45</v>
      </c>
      <c r="U46" s="9">
        <v>0</v>
      </c>
      <c r="V46" s="9">
        <v>0</v>
      </c>
      <c r="W46" s="9">
        <v>7.46</v>
      </c>
      <c r="X46" s="20">
        <v>106</v>
      </c>
      <c r="Y46" s="9">
        <v>0.35</v>
      </c>
      <c r="Z46" s="9">
        <v>217</v>
      </c>
      <c r="AA46" s="9">
        <v>0.2</v>
      </c>
      <c r="AB46" s="24">
        <v>1.7999999999999999E-2</v>
      </c>
      <c r="AC46" s="9">
        <v>152.4</v>
      </c>
      <c r="AD46" s="9">
        <v>4.04</v>
      </c>
      <c r="AE46" s="9">
        <v>124.9</v>
      </c>
      <c r="AF46" s="9">
        <v>2.5499999999999998</v>
      </c>
      <c r="AG46" s="9">
        <v>1.4</v>
      </c>
      <c r="AH46" s="9">
        <v>9.34</v>
      </c>
      <c r="AI46" s="9">
        <v>136.31</v>
      </c>
      <c r="AJ46" s="9">
        <v>20.5</v>
      </c>
      <c r="AK46" s="9">
        <v>45.1</v>
      </c>
      <c r="AL46" s="9">
        <v>66.13</v>
      </c>
      <c r="AM46" s="9">
        <v>33.020000000000003</v>
      </c>
      <c r="AN46" s="24">
        <v>1.054</v>
      </c>
      <c r="AO46" s="9">
        <v>0.3155</v>
      </c>
      <c r="AP46" s="16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  <c r="SG46" s="2"/>
      <c r="SH46" s="2"/>
      <c r="SI46" s="2"/>
      <c r="SJ46" s="2"/>
      <c r="SK46" s="2"/>
      <c r="SL46" s="2"/>
      <c r="SM46" s="2"/>
      <c r="SN46" s="2"/>
      <c r="SO46" s="2"/>
      <c r="SP46" s="2"/>
      <c r="SQ46" s="2"/>
      <c r="SR46" s="2"/>
      <c r="SS46" s="2"/>
      <c r="ST46" s="2"/>
      <c r="SU46" s="2"/>
      <c r="SV46" s="2"/>
      <c r="SW46" s="2"/>
      <c r="SX46" s="2"/>
      <c r="SY46" s="2"/>
      <c r="SZ46" s="2"/>
      <c r="TA46" s="2"/>
      <c r="TB46" s="2"/>
      <c r="TC46" s="2"/>
      <c r="TD46" s="2"/>
      <c r="TE46" s="2"/>
      <c r="TF46" s="2"/>
      <c r="TG46" s="2"/>
      <c r="TH46" s="2"/>
      <c r="TI46" s="2"/>
      <c r="TJ46" s="2"/>
      <c r="TK46" s="2"/>
      <c r="TL46" s="2"/>
      <c r="TM46" s="2"/>
      <c r="TN46" s="2"/>
      <c r="TO46" s="2"/>
      <c r="TP46" s="2"/>
      <c r="TQ46" s="2"/>
      <c r="TR46" s="2"/>
      <c r="TS46" s="2"/>
      <c r="TT46" s="2"/>
      <c r="TU46" s="2"/>
      <c r="TV46" s="2"/>
      <c r="TW46" s="2"/>
      <c r="TX46" s="2"/>
      <c r="TY46" s="2"/>
      <c r="TZ46" s="2"/>
      <c r="UA46" s="2"/>
      <c r="UB46" s="2"/>
      <c r="UC46" s="2"/>
      <c r="UD46" s="2"/>
      <c r="UE46" s="2"/>
      <c r="UF46" s="2"/>
      <c r="UG46" s="2"/>
      <c r="UH46" s="2"/>
      <c r="UI46" s="2"/>
      <c r="UJ46" s="2"/>
      <c r="UK46" s="2"/>
      <c r="UL46" s="2"/>
      <c r="UM46" s="2"/>
      <c r="UN46" s="2"/>
      <c r="UO46" s="2"/>
      <c r="UP46" s="2"/>
      <c r="UQ46" s="2"/>
      <c r="UR46" s="2"/>
      <c r="US46" s="2"/>
      <c r="UT46" s="2"/>
      <c r="UU46" s="2"/>
      <c r="UV46" s="2"/>
      <c r="UW46" s="2"/>
      <c r="UX46" s="2"/>
      <c r="UY46" s="2"/>
      <c r="UZ46" s="2"/>
      <c r="VA46" s="2"/>
      <c r="VB46" s="2"/>
      <c r="VC46" s="2"/>
      <c r="VD46" s="2"/>
      <c r="VE46" s="2"/>
      <c r="VF46" s="2"/>
      <c r="VG46" s="2"/>
      <c r="VH46" s="2"/>
      <c r="VI46" s="2"/>
      <c r="VJ46" s="2"/>
      <c r="VK46" s="2"/>
      <c r="VL46" s="2"/>
      <c r="VM46" s="2"/>
      <c r="VN46" s="2"/>
      <c r="VO46" s="2"/>
      <c r="VP46" s="2"/>
      <c r="VQ46" s="2"/>
      <c r="VR46" s="2"/>
      <c r="VS46" s="2"/>
      <c r="VT46" s="2"/>
      <c r="VU46" s="2"/>
      <c r="VV46" s="2"/>
      <c r="VW46" s="2"/>
      <c r="VX46" s="2"/>
      <c r="VY46" s="2"/>
      <c r="VZ46" s="2"/>
      <c r="WA46" s="2"/>
      <c r="WB46" s="2"/>
      <c r="WC46" s="2"/>
      <c r="WD46" s="2"/>
      <c r="WE46" s="2"/>
      <c r="WF46" s="2"/>
      <c r="WG46" s="2"/>
      <c r="WH46" s="2"/>
      <c r="WI46" s="2"/>
      <c r="WJ46" s="2"/>
      <c r="WK46" s="2"/>
      <c r="WL46" s="2"/>
      <c r="WM46" s="2"/>
      <c r="WN46" s="2"/>
      <c r="WO46" s="2"/>
      <c r="WP46" s="2"/>
      <c r="WQ46" s="2"/>
      <c r="WR46" s="2"/>
      <c r="WS46" s="2"/>
      <c r="WT46" s="2"/>
      <c r="WU46" s="2"/>
      <c r="WV46" s="2"/>
      <c r="WW46" s="2"/>
      <c r="WX46" s="2"/>
      <c r="WY46" s="2"/>
      <c r="WZ46" s="2"/>
      <c r="XA46" s="2"/>
      <c r="XB46" s="2"/>
      <c r="XC46" s="2"/>
      <c r="XD46" s="2"/>
      <c r="XE46" s="2"/>
      <c r="XF46" s="2"/>
      <c r="XG46" s="2"/>
      <c r="XH46" s="2"/>
      <c r="XI46" s="2"/>
      <c r="XJ46" s="2"/>
      <c r="XK46" s="2"/>
      <c r="XL46" s="2"/>
      <c r="XM46" s="2"/>
      <c r="XN46" s="2"/>
      <c r="XO46" s="2"/>
      <c r="XP46" s="2"/>
      <c r="XQ46" s="2"/>
      <c r="XR46" s="2"/>
      <c r="XS46" s="2"/>
      <c r="XT46" s="2"/>
      <c r="XU46" s="2"/>
      <c r="XV46" s="2"/>
      <c r="XW46" s="2"/>
      <c r="XX46" s="2"/>
      <c r="XY46" s="2"/>
      <c r="XZ46" s="2"/>
      <c r="YA46" s="2"/>
      <c r="YB46" s="2"/>
      <c r="YC46" s="2"/>
      <c r="YD46" s="2"/>
      <c r="YE46" s="2"/>
      <c r="YF46" s="2"/>
      <c r="YG46" s="2"/>
      <c r="YH46" s="2"/>
      <c r="YI46" s="2"/>
      <c r="YJ46" s="2"/>
      <c r="YK46" s="2"/>
      <c r="YL46" s="2"/>
      <c r="YM46" s="2"/>
      <c r="YN46" s="2"/>
      <c r="YO46" s="2"/>
      <c r="YP46" s="2"/>
      <c r="YQ46" s="2"/>
      <c r="YR46" s="2"/>
      <c r="YS46" s="2"/>
      <c r="YT46" s="2"/>
      <c r="YU46" s="2"/>
      <c r="YV46" s="2"/>
      <c r="YW46" s="2"/>
      <c r="YX46" s="2"/>
      <c r="YY46" s="2"/>
      <c r="YZ46" s="2"/>
      <c r="ZA46" s="2"/>
      <c r="ZB46" s="2"/>
      <c r="ZC46" s="2"/>
      <c r="ZD46" s="2"/>
      <c r="ZE46" s="2"/>
      <c r="ZF46" s="2"/>
      <c r="ZG46" s="2"/>
      <c r="ZH46" s="2"/>
      <c r="ZI46" s="2"/>
      <c r="ZJ46" s="2"/>
      <c r="ZK46" s="2"/>
      <c r="ZL46" s="2"/>
      <c r="ZM46" s="2"/>
      <c r="ZN46" s="2"/>
      <c r="ZO46" s="2"/>
      <c r="ZP46" s="2"/>
      <c r="ZQ46" s="2"/>
      <c r="ZR46" s="2"/>
      <c r="ZS46" s="2"/>
      <c r="ZT46" s="2"/>
      <c r="ZU46" s="2"/>
      <c r="ZV46" s="2"/>
      <c r="ZW46" s="2"/>
      <c r="ZX46" s="2"/>
      <c r="ZY46" s="2"/>
      <c r="ZZ46" s="2"/>
      <c r="AAA46" s="2"/>
      <c r="AAB46" s="2"/>
      <c r="AAC46" s="2"/>
      <c r="AAD46" s="2"/>
      <c r="AAE46" s="2"/>
      <c r="AAF46" s="2"/>
      <c r="AAG46" s="2"/>
      <c r="AAH46" s="2"/>
      <c r="AAI46" s="2"/>
      <c r="AAJ46" s="2"/>
      <c r="AAK46" s="2"/>
      <c r="AAL46" s="2"/>
      <c r="AAM46" s="2"/>
      <c r="AAN46" s="2"/>
      <c r="AAO46" s="2"/>
      <c r="AAP46" s="2"/>
      <c r="AAQ46" s="2"/>
      <c r="AAR46" s="2"/>
      <c r="AAS46" s="2"/>
      <c r="AAT46" s="2"/>
      <c r="AAU46" s="2"/>
      <c r="AAV46" s="2"/>
      <c r="AAW46" s="2"/>
      <c r="AAX46" s="2"/>
      <c r="AAY46" s="2"/>
      <c r="AAZ46" s="2"/>
      <c r="ABA46" s="2"/>
      <c r="ABB46" s="2"/>
      <c r="ABC46" s="2"/>
      <c r="ABD46" s="2"/>
      <c r="ABE46" s="2"/>
      <c r="ABF46" s="2"/>
      <c r="ABG46" s="2"/>
      <c r="ABH46" s="2"/>
      <c r="ABI46" s="2"/>
      <c r="ABJ46" s="2"/>
      <c r="ABK46" s="2"/>
      <c r="ABL46" s="2"/>
      <c r="ABM46" s="2"/>
      <c r="ABN46" s="2"/>
      <c r="ABO46" s="2"/>
      <c r="ABP46" s="2"/>
      <c r="ABQ46" s="2"/>
      <c r="ABR46" s="2"/>
      <c r="ABS46" s="2"/>
      <c r="ABT46" s="2"/>
      <c r="ABU46" s="2"/>
      <c r="ABV46" s="2"/>
      <c r="ABW46" s="2"/>
      <c r="ABX46" s="2"/>
      <c r="ABY46" s="2"/>
      <c r="ABZ46" s="2"/>
      <c r="ACA46" s="2"/>
      <c r="ACB46" s="2"/>
      <c r="ACC46" s="2"/>
      <c r="ACD46" s="2"/>
      <c r="ACE46" s="2"/>
      <c r="ACF46" s="2"/>
      <c r="ACG46" s="2"/>
      <c r="ACH46" s="2"/>
      <c r="ACI46" s="2"/>
      <c r="ACJ46" s="2"/>
      <c r="ACK46" s="2"/>
      <c r="ACL46" s="2"/>
      <c r="ACM46" s="2"/>
      <c r="ACN46" s="2"/>
      <c r="ACO46" s="2"/>
      <c r="ACP46" s="2"/>
      <c r="ACQ46" s="2"/>
      <c r="ACR46" s="2"/>
      <c r="ACS46" s="2"/>
      <c r="ACT46" s="2"/>
      <c r="ACU46" s="2"/>
      <c r="ACV46" s="2"/>
      <c r="ACW46" s="2"/>
      <c r="ACX46" s="2"/>
      <c r="ACY46" s="2"/>
      <c r="ACZ46" s="2"/>
      <c r="ADA46" s="2"/>
      <c r="ADB46" s="2"/>
      <c r="ADC46" s="2"/>
      <c r="ADD46" s="2"/>
      <c r="ADE46" s="2"/>
      <c r="ADF46" s="2"/>
      <c r="ADG46" s="2"/>
      <c r="ADH46" s="2"/>
      <c r="ADI46" s="2"/>
      <c r="ADJ46" s="2"/>
      <c r="ADK46" s="2"/>
      <c r="ADL46" s="2"/>
      <c r="ADM46" s="2"/>
      <c r="ADN46" s="2"/>
      <c r="ADO46" s="2"/>
      <c r="ADP46" s="2"/>
      <c r="ADQ46" s="2"/>
      <c r="ADR46" s="2"/>
      <c r="ADS46" s="2"/>
      <c r="ADT46" s="2"/>
      <c r="ADU46" s="2"/>
      <c r="ADV46" s="2"/>
      <c r="ADW46" s="2"/>
      <c r="ADX46" s="2"/>
      <c r="ADY46" s="2"/>
      <c r="ADZ46" s="2"/>
      <c r="AEA46" s="2"/>
      <c r="AEB46" s="2"/>
      <c r="AEC46" s="2"/>
      <c r="AED46" s="2"/>
      <c r="AEE46" s="2"/>
      <c r="AEF46" s="2"/>
      <c r="AEG46" s="2"/>
      <c r="AEH46" s="2"/>
      <c r="AEI46" s="2"/>
      <c r="AEJ46" s="2"/>
      <c r="AEK46" s="2"/>
      <c r="AEL46" s="2"/>
      <c r="AEM46" s="2"/>
      <c r="AEN46" s="2"/>
      <c r="AEO46" s="2"/>
      <c r="AEP46" s="2"/>
      <c r="AEQ46" s="2"/>
      <c r="AER46" s="2"/>
      <c r="AES46" s="2"/>
      <c r="AET46" s="2"/>
      <c r="AEU46" s="2"/>
      <c r="AEV46" s="2"/>
      <c r="AEW46" s="2"/>
      <c r="AEX46" s="2"/>
      <c r="AEY46" s="2"/>
      <c r="AEZ46" s="2"/>
      <c r="AFA46" s="2"/>
      <c r="AFB46" s="2"/>
      <c r="AFC46" s="2"/>
      <c r="AFD46" s="2"/>
      <c r="AFE46" s="2"/>
      <c r="AFF46" s="2"/>
      <c r="AFG46" s="2"/>
      <c r="AFH46" s="2"/>
      <c r="AFI46" s="2"/>
      <c r="AFJ46" s="2"/>
      <c r="AFK46" s="2"/>
      <c r="AFL46" s="2"/>
      <c r="AFM46" s="2"/>
      <c r="AFN46" s="2"/>
      <c r="AFO46" s="2"/>
      <c r="AFP46" s="2"/>
      <c r="AFQ46" s="2"/>
      <c r="AFR46" s="2"/>
      <c r="AFS46" s="2"/>
      <c r="AFT46" s="2"/>
      <c r="AFU46" s="2"/>
      <c r="AFV46" s="2"/>
      <c r="AFW46" s="2"/>
      <c r="AFX46" s="2"/>
      <c r="AFY46" s="2"/>
      <c r="AFZ46" s="2"/>
      <c r="AGA46" s="2"/>
      <c r="AGB46" s="2"/>
      <c r="AGC46" s="2"/>
      <c r="AGD46" s="2"/>
      <c r="AGE46" s="2"/>
      <c r="AGF46" s="2"/>
      <c r="AGG46" s="2"/>
      <c r="AGH46" s="2"/>
      <c r="AGI46" s="2"/>
      <c r="AGJ46" s="2"/>
      <c r="AGK46" s="2"/>
      <c r="AGL46" s="2"/>
      <c r="AGM46" s="2"/>
      <c r="AGN46" s="2"/>
      <c r="AGO46" s="2"/>
      <c r="AGP46" s="2"/>
      <c r="AGQ46" s="2"/>
      <c r="AGR46" s="2"/>
      <c r="AGS46" s="2"/>
      <c r="AGT46" s="2"/>
      <c r="AGU46" s="2"/>
      <c r="AGV46" s="2"/>
      <c r="AGW46" s="2"/>
      <c r="AGX46" s="2"/>
      <c r="AGY46" s="2"/>
      <c r="AGZ46" s="2"/>
      <c r="AHA46" s="2"/>
      <c r="AHB46" s="2"/>
      <c r="AHC46" s="2"/>
      <c r="AHD46" s="2"/>
      <c r="AHE46" s="2"/>
      <c r="AHF46" s="2"/>
      <c r="AHG46" s="2"/>
      <c r="AHH46" s="2"/>
      <c r="AHI46" s="2"/>
      <c r="AHJ46" s="2"/>
      <c r="AHK46" s="2"/>
      <c r="AHL46" s="2"/>
      <c r="AHM46" s="2"/>
      <c r="AHN46" s="2"/>
      <c r="AHO46" s="2"/>
      <c r="AHP46" s="2"/>
      <c r="AHQ46" s="2"/>
      <c r="AHR46" s="2"/>
      <c r="AHS46" s="2"/>
      <c r="AHT46" s="2"/>
      <c r="AHU46" s="2"/>
      <c r="AHV46" s="2"/>
      <c r="AHW46" s="2"/>
      <c r="AHX46" s="2"/>
      <c r="AHY46" s="2"/>
      <c r="AHZ46" s="2"/>
      <c r="AIA46" s="2"/>
      <c r="AIB46" s="2"/>
      <c r="AIC46" s="2"/>
      <c r="AID46" s="2"/>
      <c r="AIE46" s="2"/>
      <c r="AIF46" s="2"/>
      <c r="AIG46" s="2"/>
      <c r="AIH46" s="2"/>
      <c r="AII46" s="2"/>
      <c r="AIJ46" s="2"/>
      <c r="AIK46" s="2"/>
      <c r="AIL46" s="2"/>
      <c r="AIM46" s="2"/>
      <c r="AIN46" s="2"/>
      <c r="AIO46" s="2"/>
      <c r="AIP46" s="2"/>
      <c r="AIQ46" s="2"/>
      <c r="AIR46" s="2"/>
      <c r="AIS46" s="2"/>
      <c r="AIT46" s="2"/>
      <c r="AIU46" s="2"/>
      <c r="AIV46" s="2"/>
      <c r="AIW46" s="2"/>
      <c r="AIX46" s="2"/>
      <c r="AIY46" s="2"/>
      <c r="AIZ46" s="2"/>
      <c r="AJA46" s="2"/>
      <c r="AJB46" s="2"/>
      <c r="AJC46" s="2"/>
      <c r="AJD46" s="2"/>
      <c r="AJE46" s="2"/>
      <c r="AJF46" s="2"/>
      <c r="AJG46" s="2"/>
      <c r="AJH46" s="2"/>
      <c r="AJI46" s="2"/>
      <c r="AJJ46" s="2"/>
      <c r="AJK46" s="2"/>
      <c r="AJL46" s="2"/>
      <c r="AJM46" s="2"/>
      <c r="AJN46" s="2"/>
      <c r="AJO46" s="2"/>
      <c r="AJP46" s="2"/>
      <c r="AJQ46" s="2"/>
      <c r="AJR46" s="2"/>
      <c r="AJS46" s="2"/>
      <c r="AJT46" s="2"/>
      <c r="AJU46" s="2"/>
      <c r="AJV46" s="2"/>
      <c r="AJW46" s="2"/>
      <c r="AJX46" s="2"/>
      <c r="AJY46" s="2"/>
      <c r="AJZ46" s="2"/>
    </row>
    <row r="47" spans="1:962">
      <c r="A47" s="16">
        <v>46</v>
      </c>
      <c r="B47" s="8">
        <v>1</v>
      </c>
      <c r="C47" s="9">
        <v>6.74</v>
      </c>
      <c r="D47" s="9">
        <v>4.54</v>
      </c>
      <c r="E47" s="9">
        <v>1.73</v>
      </c>
      <c r="F47" s="9">
        <v>0.08</v>
      </c>
      <c r="G47" s="9">
        <v>200</v>
      </c>
      <c r="H47" s="17">
        <v>2</v>
      </c>
      <c r="I47" s="9">
        <f t="shared" si="0"/>
        <v>2.6242774566473988</v>
      </c>
      <c r="J47" s="9">
        <f t="shared" si="1"/>
        <v>4.6242774566473993E-2</v>
      </c>
      <c r="K47" s="9">
        <f t="shared" si="2"/>
        <v>115.60693641618498</v>
      </c>
      <c r="L47" s="9">
        <f t="shared" si="3"/>
        <v>524.85549132947972</v>
      </c>
      <c r="M47" s="8">
        <v>13</v>
      </c>
      <c r="N47" s="9" t="s">
        <v>28</v>
      </c>
      <c r="O47" s="9">
        <v>6.4</v>
      </c>
      <c r="P47" s="9">
        <v>6.74</v>
      </c>
      <c r="Q47" s="9">
        <v>4.54</v>
      </c>
      <c r="R47" s="9">
        <v>1.73</v>
      </c>
      <c r="S47" s="9">
        <v>0.08</v>
      </c>
      <c r="T47" s="9">
        <v>0.39</v>
      </c>
      <c r="U47" s="9">
        <v>0</v>
      </c>
      <c r="V47" s="9">
        <v>0.01</v>
      </c>
      <c r="W47" s="9">
        <v>8.56</v>
      </c>
      <c r="X47" s="20">
        <v>129</v>
      </c>
      <c r="Y47" s="9">
        <v>0.42</v>
      </c>
      <c r="Z47" s="9">
        <v>200</v>
      </c>
      <c r="AA47" s="9">
        <v>0.9</v>
      </c>
      <c r="AB47" s="24">
        <v>7.9000000000000001E-2</v>
      </c>
      <c r="AC47" s="9">
        <v>150.6</v>
      </c>
      <c r="AD47" s="9">
        <v>4.8600000000000003</v>
      </c>
      <c r="AE47" s="9">
        <v>117.3</v>
      </c>
      <c r="AF47" s="9">
        <v>2.75</v>
      </c>
      <c r="AG47" s="9">
        <v>1.08</v>
      </c>
      <c r="AH47" s="9">
        <v>11.12</v>
      </c>
      <c r="AI47" s="9">
        <v>124.6</v>
      </c>
      <c r="AJ47" s="9">
        <v>29.9</v>
      </c>
      <c r="AK47" s="9">
        <v>71.8</v>
      </c>
      <c r="AL47" s="9">
        <v>75.53</v>
      </c>
      <c r="AM47" s="9">
        <v>33.35</v>
      </c>
      <c r="AN47" s="24">
        <v>1.022</v>
      </c>
      <c r="AO47" s="9">
        <v>0.11</v>
      </c>
      <c r="AP47" s="21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  <c r="SG47" s="2"/>
      <c r="SH47" s="2"/>
      <c r="SI47" s="2"/>
      <c r="SJ47" s="2"/>
      <c r="SK47" s="2"/>
      <c r="SL47" s="2"/>
      <c r="SM47" s="2"/>
      <c r="SN47" s="2"/>
      <c r="SO47" s="2"/>
      <c r="SP47" s="2"/>
      <c r="SQ47" s="2"/>
      <c r="SR47" s="2"/>
      <c r="SS47" s="2"/>
      <c r="ST47" s="2"/>
      <c r="SU47" s="2"/>
      <c r="SV47" s="2"/>
      <c r="SW47" s="2"/>
      <c r="SX47" s="2"/>
      <c r="SY47" s="2"/>
      <c r="SZ47" s="2"/>
      <c r="TA47" s="2"/>
      <c r="TB47" s="2"/>
      <c r="TC47" s="2"/>
      <c r="TD47" s="2"/>
      <c r="TE47" s="2"/>
      <c r="TF47" s="2"/>
      <c r="TG47" s="2"/>
      <c r="TH47" s="2"/>
      <c r="TI47" s="2"/>
      <c r="TJ47" s="2"/>
      <c r="TK47" s="2"/>
      <c r="TL47" s="2"/>
      <c r="TM47" s="2"/>
      <c r="TN47" s="2"/>
      <c r="TO47" s="2"/>
      <c r="TP47" s="2"/>
      <c r="TQ47" s="2"/>
      <c r="TR47" s="2"/>
      <c r="TS47" s="2"/>
      <c r="TT47" s="2"/>
      <c r="TU47" s="2"/>
      <c r="TV47" s="2"/>
      <c r="TW47" s="2"/>
      <c r="TX47" s="2"/>
      <c r="TY47" s="2"/>
      <c r="TZ47" s="2"/>
      <c r="UA47" s="2"/>
      <c r="UB47" s="2"/>
      <c r="UC47" s="2"/>
      <c r="UD47" s="2"/>
      <c r="UE47" s="2"/>
      <c r="UF47" s="2"/>
      <c r="UG47" s="2"/>
      <c r="UH47" s="2"/>
      <c r="UI47" s="2"/>
      <c r="UJ47" s="2"/>
      <c r="UK47" s="2"/>
      <c r="UL47" s="2"/>
      <c r="UM47" s="2"/>
      <c r="UN47" s="2"/>
      <c r="UO47" s="2"/>
      <c r="UP47" s="2"/>
      <c r="UQ47" s="2"/>
      <c r="UR47" s="2"/>
      <c r="US47" s="2"/>
      <c r="UT47" s="2"/>
      <c r="UU47" s="2"/>
      <c r="UV47" s="2"/>
      <c r="UW47" s="2"/>
      <c r="UX47" s="2"/>
      <c r="UY47" s="2"/>
      <c r="UZ47" s="2"/>
      <c r="VA47" s="2"/>
      <c r="VB47" s="2"/>
      <c r="VC47" s="2"/>
      <c r="VD47" s="2"/>
      <c r="VE47" s="2"/>
      <c r="VF47" s="2"/>
      <c r="VG47" s="2"/>
      <c r="VH47" s="2"/>
      <c r="VI47" s="2"/>
      <c r="VJ47" s="2"/>
      <c r="VK47" s="2"/>
      <c r="VL47" s="2"/>
      <c r="VM47" s="2"/>
      <c r="VN47" s="2"/>
      <c r="VO47" s="2"/>
      <c r="VP47" s="2"/>
      <c r="VQ47" s="2"/>
      <c r="VR47" s="2"/>
      <c r="VS47" s="2"/>
      <c r="VT47" s="2"/>
      <c r="VU47" s="2"/>
      <c r="VV47" s="2"/>
      <c r="VW47" s="2"/>
      <c r="VX47" s="2"/>
      <c r="VY47" s="2"/>
      <c r="VZ47" s="2"/>
      <c r="WA47" s="2"/>
      <c r="WB47" s="2"/>
      <c r="WC47" s="2"/>
      <c r="WD47" s="2"/>
      <c r="WE47" s="2"/>
      <c r="WF47" s="2"/>
      <c r="WG47" s="2"/>
      <c r="WH47" s="2"/>
      <c r="WI47" s="2"/>
      <c r="WJ47" s="2"/>
      <c r="WK47" s="2"/>
      <c r="WL47" s="2"/>
      <c r="WM47" s="2"/>
      <c r="WN47" s="2"/>
      <c r="WO47" s="2"/>
      <c r="WP47" s="2"/>
      <c r="WQ47" s="2"/>
      <c r="WR47" s="2"/>
      <c r="WS47" s="2"/>
      <c r="WT47" s="2"/>
      <c r="WU47" s="2"/>
      <c r="WV47" s="2"/>
      <c r="WW47" s="2"/>
      <c r="WX47" s="2"/>
      <c r="WY47" s="2"/>
      <c r="WZ47" s="2"/>
      <c r="XA47" s="2"/>
      <c r="XB47" s="2"/>
      <c r="XC47" s="2"/>
      <c r="XD47" s="2"/>
      <c r="XE47" s="2"/>
      <c r="XF47" s="2"/>
      <c r="XG47" s="2"/>
      <c r="XH47" s="2"/>
      <c r="XI47" s="2"/>
      <c r="XJ47" s="2"/>
      <c r="XK47" s="2"/>
      <c r="XL47" s="2"/>
      <c r="XM47" s="2"/>
      <c r="XN47" s="2"/>
      <c r="XO47" s="2"/>
      <c r="XP47" s="2"/>
      <c r="XQ47" s="2"/>
      <c r="XR47" s="2"/>
      <c r="XS47" s="2"/>
      <c r="XT47" s="2"/>
      <c r="XU47" s="2"/>
      <c r="XV47" s="2"/>
      <c r="XW47" s="2"/>
      <c r="XX47" s="2"/>
      <c r="XY47" s="2"/>
      <c r="XZ47" s="2"/>
      <c r="YA47" s="2"/>
      <c r="YB47" s="2"/>
      <c r="YC47" s="2"/>
      <c r="YD47" s="2"/>
      <c r="YE47" s="2"/>
      <c r="YF47" s="2"/>
      <c r="YG47" s="2"/>
      <c r="YH47" s="2"/>
      <c r="YI47" s="2"/>
      <c r="YJ47" s="2"/>
      <c r="YK47" s="2"/>
      <c r="YL47" s="2"/>
      <c r="YM47" s="2"/>
      <c r="YN47" s="2"/>
      <c r="YO47" s="2"/>
      <c r="YP47" s="2"/>
      <c r="YQ47" s="2"/>
      <c r="YR47" s="2"/>
      <c r="YS47" s="2"/>
      <c r="YT47" s="2"/>
      <c r="YU47" s="2"/>
      <c r="YV47" s="2"/>
      <c r="YW47" s="2"/>
      <c r="YX47" s="2"/>
      <c r="YY47" s="2"/>
      <c r="YZ47" s="2"/>
      <c r="ZA47" s="2"/>
      <c r="ZB47" s="2"/>
      <c r="ZC47" s="2"/>
      <c r="ZD47" s="2"/>
      <c r="ZE47" s="2"/>
      <c r="ZF47" s="2"/>
      <c r="ZG47" s="2"/>
      <c r="ZH47" s="2"/>
      <c r="ZI47" s="2"/>
      <c r="ZJ47" s="2"/>
      <c r="ZK47" s="2"/>
      <c r="ZL47" s="2"/>
      <c r="ZM47" s="2"/>
      <c r="ZN47" s="2"/>
      <c r="ZO47" s="2"/>
      <c r="ZP47" s="2"/>
      <c r="ZQ47" s="2"/>
      <c r="ZR47" s="2"/>
      <c r="ZS47" s="2"/>
      <c r="ZT47" s="2"/>
      <c r="ZU47" s="2"/>
      <c r="ZV47" s="2"/>
      <c r="ZW47" s="2"/>
      <c r="ZX47" s="2"/>
      <c r="ZY47" s="2"/>
      <c r="ZZ47" s="2"/>
      <c r="AAA47" s="2"/>
      <c r="AAB47" s="2"/>
      <c r="AAC47" s="2"/>
      <c r="AAD47" s="2"/>
      <c r="AAE47" s="2"/>
      <c r="AAF47" s="2"/>
      <c r="AAG47" s="2"/>
      <c r="AAH47" s="2"/>
      <c r="AAI47" s="2"/>
      <c r="AAJ47" s="2"/>
      <c r="AAK47" s="2"/>
      <c r="AAL47" s="2"/>
      <c r="AAM47" s="2"/>
      <c r="AAN47" s="2"/>
      <c r="AAO47" s="2"/>
      <c r="AAP47" s="2"/>
      <c r="AAQ47" s="2"/>
      <c r="AAR47" s="2"/>
      <c r="AAS47" s="2"/>
      <c r="AAT47" s="2"/>
      <c r="AAU47" s="2"/>
      <c r="AAV47" s="2"/>
      <c r="AAW47" s="2"/>
      <c r="AAX47" s="2"/>
      <c r="AAY47" s="2"/>
      <c r="AAZ47" s="2"/>
      <c r="ABA47" s="2"/>
      <c r="ABB47" s="2"/>
      <c r="ABC47" s="2"/>
      <c r="ABD47" s="2"/>
      <c r="ABE47" s="2"/>
      <c r="ABF47" s="2"/>
      <c r="ABG47" s="2"/>
      <c r="ABH47" s="2"/>
      <c r="ABI47" s="2"/>
      <c r="ABJ47" s="2"/>
      <c r="ABK47" s="2"/>
      <c r="ABL47" s="2"/>
      <c r="ABM47" s="2"/>
      <c r="ABN47" s="2"/>
      <c r="ABO47" s="2"/>
      <c r="ABP47" s="2"/>
      <c r="ABQ47" s="2"/>
      <c r="ABR47" s="2"/>
      <c r="ABS47" s="2"/>
      <c r="ABT47" s="2"/>
      <c r="ABU47" s="2"/>
      <c r="ABV47" s="2"/>
      <c r="ABW47" s="2"/>
      <c r="ABX47" s="2"/>
      <c r="ABY47" s="2"/>
      <c r="ABZ47" s="2"/>
      <c r="ACA47" s="2"/>
      <c r="ACB47" s="2"/>
      <c r="ACC47" s="2"/>
      <c r="ACD47" s="2"/>
      <c r="ACE47" s="2"/>
      <c r="ACF47" s="2"/>
      <c r="ACG47" s="2"/>
      <c r="ACH47" s="2"/>
      <c r="ACI47" s="2"/>
      <c r="ACJ47" s="2"/>
      <c r="ACK47" s="2"/>
      <c r="ACL47" s="2"/>
      <c r="ACM47" s="2"/>
      <c r="ACN47" s="2"/>
      <c r="ACO47" s="2"/>
      <c r="ACP47" s="2"/>
      <c r="ACQ47" s="2"/>
      <c r="ACR47" s="2"/>
      <c r="ACS47" s="2"/>
      <c r="ACT47" s="2"/>
      <c r="ACU47" s="2"/>
      <c r="ACV47" s="2"/>
      <c r="ACW47" s="2"/>
      <c r="ACX47" s="2"/>
      <c r="ACY47" s="2"/>
      <c r="ACZ47" s="2"/>
      <c r="ADA47" s="2"/>
      <c r="ADB47" s="2"/>
      <c r="ADC47" s="2"/>
      <c r="ADD47" s="2"/>
      <c r="ADE47" s="2"/>
      <c r="ADF47" s="2"/>
      <c r="ADG47" s="2"/>
      <c r="ADH47" s="2"/>
      <c r="ADI47" s="2"/>
      <c r="ADJ47" s="2"/>
      <c r="ADK47" s="2"/>
      <c r="ADL47" s="2"/>
      <c r="ADM47" s="2"/>
      <c r="ADN47" s="2"/>
      <c r="ADO47" s="2"/>
      <c r="ADP47" s="2"/>
      <c r="ADQ47" s="2"/>
      <c r="ADR47" s="2"/>
      <c r="ADS47" s="2"/>
      <c r="ADT47" s="2"/>
      <c r="ADU47" s="2"/>
      <c r="ADV47" s="2"/>
      <c r="ADW47" s="2"/>
      <c r="ADX47" s="2"/>
      <c r="ADY47" s="2"/>
      <c r="ADZ47" s="2"/>
      <c r="AEA47" s="2"/>
      <c r="AEB47" s="2"/>
      <c r="AEC47" s="2"/>
      <c r="AED47" s="2"/>
      <c r="AEE47" s="2"/>
      <c r="AEF47" s="2"/>
      <c r="AEG47" s="2"/>
      <c r="AEH47" s="2"/>
      <c r="AEI47" s="2"/>
      <c r="AEJ47" s="2"/>
      <c r="AEK47" s="2"/>
      <c r="AEL47" s="2"/>
      <c r="AEM47" s="2"/>
      <c r="AEN47" s="2"/>
      <c r="AEO47" s="2"/>
      <c r="AEP47" s="2"/>
      <c r="AEQ47" s="2"/>
      <c r="AER47" s="2"/>
      <c r="AES47" s="2"/>
      <c r="AET47" s="2"/>
      <c r="AEU47" s="2"/>
      <c r="AEV47" s="2"/>
      <c r="AEW47" s="2"/>
      <c r="AEX47" s="2"/>
      <c r="AEY47" s="2"/>
      <c r="AEZ47" s="2"/>
      <c r="AFA47" s="2"/>
      <c r="AFB47" s="2"/>
      <c r="AFC47" s="2"/>
      <c r="AFD47" s="2"/>
      <c r="AFE47" s="2"/>
      <c r="AFF47" s="2"/>
      <c r="AFG47" s="2"/>
      <c r="AFH47" s="2"/>
      <c r="AFI47" s="2"/>
      <c r="AFJ47" s="2"/>
      <c r="AFK47" s="2"/>
      <c r="AFL47" s="2"/>
      <c r="AFM47" s="2"/>
      <c r="AFN47" s="2"/>
      <c r="AFO47" s="2"/>
      <c r="AFP47" s="2"/>
      <c r="AFQ47" s="2"/>
      <c r="AFR47" s="2"/>
      <c r="AFS47" s="2"/>
      <c r="AFT47" s="2"/>
      <c r="AFU47" s="2"/>
      <c r="AFV47" s="2"/>
      <c r="AFW47" s="2"/>
      <c r="AFX47" s="2"/>
      <c r="AFY47" s="2"/>
      <c r="AFZ47" s="2"/>
      <c r="AGA47" s="2"/>
      <c r="AGB47" s="2"/>
      <c r="AGC47" s="2"/>
      <c r="AGD47" s="2"/>
      <c r="AGE47" s="2"/>
      <c r="AGF47" s="2"/>
      <c r="AGG47" s="2"/>
      <c r="AGH47" s="2"/>
      <c r="AGI47" s="2"/>
      <c r="AGJ47" s="2"/>
      <c r="AGK47" s="2"/>
      <c r="AGL47" s="2"/>
      <c r="AGM47" s="2"/>
      <c r="AGN47" s="2"/>
      <c r="AGO47" s="2"/>
      <c r="AGP47" s="2"/>
      <c r="AGQ47" s="2"/>
      <c r="AGR47" s="2"/>
      <c r="AGS47" s="2"/>
      <c r="AGT47" s="2"/>
      <c r="AGU47" s="2"/>
      <c r="AGV47" s="2"/>
      <c r="AGW47" s="2"/>
      <c r="AGX47" s="2"/>
      <c r="AGY47" s="2"/>
      <c r="AGZ47" s="2"/>
      <c r="AHA47" s="2"/>
      <c r="AHB47" s="2"/>
      <c r="AHC47" s="2"/>
      <c r="AHD47" s="2"/>
      <c r="AHE47" s="2"/>
      <c r="AHF47" s="2"/>
      <c r="AHG47" s="2"/>
      <c r="AHH47" s="2"/>
      <c r="AHI47" s="2"/>
      <c r="AHJ47" s="2"/>
      <c r="AHK47" s="2"/>
      <c r="AHL47" s="2"/>
      <c r="AHM47" s="2"/>
      <c r="AHN47" s="2"/>
      <c r="AHO47" s="2"/>
      <c r="AHP47" s="2"/>
      <c r="AHQ47" s="2"/>
      <c r="AHR47" s="2"/>
      <c r="AHS47" s="2"/>
      <c r="AHT47" s="2"/>
      <c r="AHU47" s="2"/>
      <c r="AHV47" s="2"/>
      <c r="AHW47" s="2"/>
      <c r="AHX47" s="2"/>
      <c r="AHY47" s="2"/>
      <c r="AHZ47" s="2"/>
      <c r="AIA47" s="2"/>
      <c r="AIB47" s="2"/>
      <c r="AIC47" s="2"/>
      <c r="AID47" s="2"/>
      <c r="AIE47" s="2"/>
      <c r="AIF47" s="2"/>
      <c r="AIG47" s="2"/>
      <c r="AIH47" s="2"/>
      <c r="AII47" s="2"/>
      <c r="AIJ47" s="2"/>
      <c r="AIK47" s="2"/>
      <c r="AIL47" s="2"/>
      <c r="AIM47" s="2"/>
      <c r="AIN47" s="2"/>
      <c r="AIO47" s="2"/>
      <c r="AIP47" s="2"/>
      <c r="AIQ47" s="2"/>
      <c r="AIR47" s="2"/>
      <c r="AIS47" s="2"/>
      <c r="AIT47" s="2"/>
      <c r="AIU47" s="2"/>
      <c r="AIV47" s="2"/>
      <c r="AIW47" s="2"/>
      <c r="AIX47" s="2"/>
      <c r="AIY47" s="2"/>
      <c r="AIZ47" s="2"/>
      <c r="AJA47" s="2"/>
      <c r="AJB47" s="2"/>
      <c r="AJC47" s="2"/>
      <c r="AJD47" s="2"/>
      <c r="AJE47" s="2"/>
      <c r="AJF47" s="2"/>
      <c r="AJG47" s="2"/>
      <c r="AJH47" s="2"/>
      <c r="AJI47" s="2"/>
      <c r="AJJ47" s="2"/>
      <c r="AJK47" s="2"/>
      <c r="AJL47" s="2"/>
      <c r="AJM47" s="2"/>
      <c r="AJN47" s="2"/>
      <c r="AJO47" s="2"/>
      <c r="AJP47" s="2"/>
      <c r="AJQ47" s="2"/>
      <c r="AJR47" s="2"/>
      <c r="AJS47" s="2"/>
      <c r="AJT47" s="2"/>
      <c r="AJU47" s="2"/>
      <c r="AJV47" s="2"/>
      <c r="AJW47" s="2"/>
      <c r="AJX47" s="2"/>
      <c r="AJY47" s="2"/>
      <c r="AJZ47" s="2"/>
    </row>
    <row r="48" spans="1:962">
      <c r="A48" s="16">
        <v>47</v>
      </c>
      <c r="B48" s="7">
        <v>1</v>
      </c>
      <c r="C48" s="7">
        <v>2.38</v>
      </c>
      <c r="D48" s="7">
        <v>1.19</v>
      </c>
      <c r="E48" s="7">
        <v>1.08</v>
      </c>
      <c r="F48" s="7">
        <v>0.08</v>
      </c>
      <c r="G48" s="7">
        <v>338</v>
      </c>
      <c r="H48" s="17">
        <v>2</v>
      </c>
      <c r="I48" s="9">
        <f t="shared" si="0"/>
        <v>1.1018518518518516</v>
      </c>
      <c r="J48" s="9">
        <f t="shared" si="1"/>
        <v>7.407407407407407E-2</v>
      </c>
      <c r="K48" s="9">
        <f t="shared" si="2"/>
        <v>312.96296296296293</v>
      </c>
      <c r="L48" s="9">
        <f t="shared" si="3"/>
        <v>372.42592592592587</v>
      </c>
      <c r="M48" s="7">
        <v>8</v>
      </c>
      <c r="N48" s="7" t="s">
        <v>28</v>
      </c>
      <c r="O48" s="9">
        <v>3.44</v>
      </c>
      <c r="P48" s="7">
        <v>2.38</v>
      </c>
      <c r="Q48" s="7">
        <v>1.19</v>
      </c>
      <c r="R48" s="7">
        <v>1.08</v>
      </c>
      <c r="S48" s="7">
        <v>0.08</v>
      </c>
      <c r="T48" s="7">
        <v>1.2</v>
      </c>
      <c r="U48" s="7">
        <v>0.1</v>
      </c>
      <c r="V48" s="7">
        <v>0.01</v>
      </c>
      <c r="W48" s="9">
        <v>9</v>
      </c>
      <c r="X48" s="20">
        <v>118</v>
      </c>
      <c r="Y48" s="7">
        <v>0.39</v>
      </c>
      <c r="Z48" s="7">
        <v>338</v>
      </c>
      <c r="AA48" s="7">
        <v>0.3</v>
      </c>
      <c r="AB48" s="24">
        <v>2.4E-2</v>
      </c>
      <c r="AC48" s="7">
        <v>156.80000000000001</v>
      </c>
      <c r="AD48" s="7">
        <v>4.55</v>
      </c>
      <c r="AE48" s="7">
        <v>122.8</v>
      </c>
      <c r="AF48" s="7">
        <v>2.2999999999999998</v>
      </c>
      <c r="AG48" s="7">
        <v>1.69</v>
      </c>
      <c r="AH48" s="7">
        <v>7.4</v>
      </c>
      <c r="AI48" s="7">
        <v>135.19999999999999</v>
      </c>
      <c r="AJ48" s="7">
        <v>29.2</v>
      </c>
      <c r="AK48" s="7">
        <v>50.5</v>
      </c>
      <c r="AL48" s="7">
        <v>71.3</v>
      </c>
      <c r="AM48" s="7">
        <v>34.909999999999997</v>
      </c>
      <c r="AN48" s="24">
        <v>1.0720000000000001</v>
      </c>
      <c r="AO48" s="7">
        <v>7.9600000000000004E-2</v>
      </c>
    </row>
    <row r="49" spans="1:962">
      <c r="A49" s="16">
        <v>48</v>
      </c>
      <c r="B49" s="7">
        <v>1</v>
      </c>
      <c r="C49" s="7">
        <v>4.8099999999999996</v>
      </c>
      <c r="D49" s="7">
        <v>2.2799999999999998</v>
      </c>
      <c r="E49" s="7">
        <v>1.95</v>
      </c>
      <c r="F49" s="7">
        <v>0.12</v>
      </c>
      <c r="G49" s="7">
        <v>258</v>
      </c>
      <c r="H49" s="17">
        <v>2</v>
      </c>
      <c r="I49" s="9">
        <f t="shared" si="0"/>
        <v>1.1692307692307691</v>
      </c>
      <c r="J49" s="9">
        <f t="shared" si="1"/>
        <v>6.1538461538461535E-2</v>
      </c>
      <c r="K49" s="9">
        <f t="shared" si="2"/>
        <v>132.30769230769232</v>
      </c>
      <c r="L49" s="9">
        <f t="shared" si="3"/>
        <v>301.66153846153844</v>
      </c>
      <c r="M49" s="7">
        <v>13</v>
      </c>
      <c r="N49" s="7" t="s">
        <v>26</v>
      </c>
      <c r="O49" s="9">
        <v>4.5</v>
      </c>
      <c r="P49" s="7">
        <v>4.8099999999999996</v>
      </c>
      <c r="Q49" s="7">
        <v>2.2799999999999998</v>
      </c>
      <c r="R49" s="7">
        <v>1.95</v>
      </c>
      <c r="S49" s="7">
        <v>0.12</v>
      </c>
      <c r="T49" s="7">
        <v>0.45</v>
      </c>
      <c r="U49" s="7">
        <v>0</v>
      </c>
      <c r="V49" s="7">
        <v>0.02</v>
      </c>
      <c r="W49" s="9">
        <v>9.56</v>
      </c>
      <c r="X49" s="20">
        <v>134</v>
      </c>
      <c r="Y49" s="7">
        <v>0.41</v>
      </c>
      <c r="Z49" s="7">
        <v>258</v>
      </c>
      <c r="AA49" s="7">
        <v>0.1</v>
      </c>
      <c r="AB49" s="24">
        <v>1.2999999999999999E-2</v>
      </c>
      <c r="AC49" s="7">
        <v>158.19999999999999</v>
      </c>
      <c r="AD49" s="7">
        <v>4.24</v>
      </c>
      <c r="AE49" s="7">
        <v>121.1</v>
      </c>
      <c r="AF49" s="7">
        <v>2.39</v>
      </c>
      <c r="AG49" s="7">
        <v>1.58</v>
      </c>
      <c r="AH49" s="7">
        <v>16.95</v>
      </c>
      <c r="AI49" s="7">
        <v>138.1</v>
      </c>
      <c r="AJ49" s="7">
        <v>18.399999999999999</v>
      </c>
      <c r="AK49" s="7">
        <v>39.5</v>
      </c>
      <c r="AL49" s="7">
        <v>83.8</v>
      </c>
      <c r="AM49" s="7">
        <v>35</v>
      </c>
      <c r="AN49" s="24">
        <v>1.046</v>
      </c>
      <c r="AO49" s="7">
        <v>0.2195</v>
      </c>
    </row>
    <row r="50" spans="1:962">
      <c r="A50" s="16">
        <v>49</v>
      </c>
      <c r="B50" s="16">
        <v>1</v>
      </c>
      <c r="C50" s="16">
        <v>6.81</v>
      </c>
      <c r="D50" s="9">
        <v>6.17</v>
      </c>
      <c r="E50" s="9">
        <v>0.53</v>
      </c>
      <c r="F50" s="9">
        <v>0.04</v>
      </c>
      <c r="G50" s="16">
        <v>262</v>
      </c>
      <c r="H50" s="17">
        <v>2</v>
      </c>
      <c r="I50" s="9">
        <f t="shared" si="0"/>
        <v>11.641509433962263</v>
      </c>
      <c r="J50" s="9">
        <f t="shared" si="1"/>
        <v>7.5471698113207544E-2</v>
      </c>
      <c r="K50" s="9">
        <f t="shared" si="2"/>
        <v>494.33962264150944</v>
      </c>
      <c r="L50" s="9">
        <f t="shared" si="3"/>
        <v>3050.0754716981128</v>
      </c>
      <c r="M50" s="16">
        <v>19</v>
      </c>
      <c r="N50" s="16" t="s">
        <v>31</v>
      </c>
      <c r="O50" s="16">
        <v>4.5999999999999996</v>
      </c>
      <c r="P50" s="9">
        <v>6.81</v>
      </c>
      <c r="Q50" s="9">
        <v>6.17</v>
      </c>
      <c r="R50" s="9">
        <v>0.53</v>
      </c>
      <c r="S50" s="9">
        <v>0.04</v>
      </c>
      <c r="T50" s="9">
        <v>0.06</v>
      </c>
      <c r="U50" s="9">
        <v>0</v>
      </c>
      <c r="V50" s="9">
        <v>0.01</v>
      </c>
      <c r="W50" s="18">
        <v>7.99</v>
      </c>
      <c r="X50" s="19">
        <v>113</v>
      </c>
      <c r="Y50" s="16">
        <v>0.36</v>
      </c>
      <c r="Z50" s="16">
        <v>262</v>
      </c>
      <c r="AA50" s="16">
        <v>0.1</v>
      </c>
      <c r="AB50" s="16"/>
      <c r="AC50" s="16">
        <v>148</v>
      </c>
      <c r="AD50" s="16">
        <v>3.98</v>
      </c>
      <c r="AE50" s="16">
        <v>117.6</v>
      </c>
      <c r="AF50" s="16">
        <v>2.23</v>
      </c>
      <c r="AG50" s="16">
        <v>1.05</v>
      </c>
      <c r="AH50" s="16">
        <v>6.3</v>
      </c>
      <c r="AI50" s="16">
        <v>104.75</v>
      </c>
      <c r="AJ50" s="16">
        <v>15.5</v>
      </c>
      <c r="AK50" s="16">
        <v>72.400000000000006</v>
      </c>
      <c r="AL50" s="16">
        <v>83</v>
      </c>
      <c r="AM50" s="16">
        <v>29.51</v>
      </c>
      <c r="AN50" s="16">
        <v>1.046</v>
      </c>
      <c r="AO50" s="16">
        <v>1.6539999999999999</v>
      </c>
      <c r="AP50" s="16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  <c r="LB50" s="2"/>
      <c r="LC50" s="2"/>
      <c r="LD50" s="2"/>
      <c r="LE50" s="2"/>
      <c r="LF50" s="2"/>
      <c r="LG50" s="2"/>
      <c r="LH50" s="2"/>
      <c r="LI50" s="2"/>
      <c r="LJ50" s="2"/>
      <c r="LK50" s="2"/>
      <c r="LL50" s="2"/>
      <c r="LM50" s="2"/>
      <c r="LN50" s="2"/>
      <c r="LO50" s="2"/>
      <c r="LP50" s="2"/>
      <c r="LQ50" s="2"/>
      <c r="LR50" s="2"/>
      <c r="LS50" s="2"/>
      <c r="LT50" s="2"/>
      <c r="LU50" s="2"/>
      <c r="LV50" s="2"/>
      <c r="LW50" s="2"/>
      <c r="LX50" s="2"/>
      <c r="LY50" s="2"/>
      <c r="LZ50" s="2"/>
      <c r="MA50" s="2"/>
      <c r="MB50" s="2"/>
      <c r="MC50" s="2"/>
      <c r="MD50" s="2"/>
      <c r="ME50" s="2"/>
      <c r="MF50" s="2"/>
      <c r="MG50" s="2"/>
      <c r="MH50" s="2"/>
      <c r="MI50" s="2"/>
      <c r="MJ50" s="2"/>
      <c r="MK50" s="2"/>
      <c r="ML50" s="2"/>
      <c r="MM50" s="2"/>
      <c r="MN50" s="2"/>
      <c r="MO50" s="2"/>
      <c r="MP50" s="2"/>
      <c r="MQ50" s="2"/>
      <c r="MR50" s="2"/>
      <c r="MS50" s="2"/>
      <c r="MT50" s="2"/>
      <c r="MU50" s="2"/>
      <c r="MV50" s="2"/>
      <c r="MW50" s="2"/>
      <c r="MX50" s="2"/>
      <c r="MY50" s="2"/>
      <c r="MZ50" s="2"/>
      <c r="NA50" s="2"/>
      <c r="NB50" s="2"/>
      <c r="NC50" s="2"/>
      <c r="ND50" s="2"/>
      <c r="NE50" s="2"/>
      <c r="NF50" s="2"/>
      <c r="NG50" s="2"/>
      <c r="NH50" s="2"/>
      <c r="NI50" s="2"/>
      <c r="NJ50" s="2"/>
      <c r="NK50" s="2"/>
      <c r="NL50" s="2"/>
      <c r="NM50" s="2"/>
      <c r="NN50" s="2"/>
      <c r="NO50" s="2"/>
      <c r="NP50" s="2"/>
      <c r="NQ50" s="2"/>
      <c r="NR50" s="2"/>
      <c r="NS50" s="2"/>
      <c r="NT50" s="2"/>
      <c r="NU50" s="2"/>
      <c r="NV50" s="2"/>
      <c r="NW50" s="2"/>
      <c r="NX50" s="2"/>
      <c r="NY50" s="2"/>
      <c r="NZ50" s="2"/>
      <c r="OA50" s="2"/>
      <c r="OB50" s="2"/>
      <c r="OC50" s="2"/>
      <c r="OD50" s="2"/>
      <c r="OE50" s="2"/>
      <c r="OF50" s="2"/>
      <c r="OG50" s="2"/>
      <c r="OH50" s="2"/>
      <c r="OI50" s="2"/>
      <c r="OJ50" s="2"/>
      <c r="OK50" s="2"/>
      <c r="OL50" s="2"/>
      <c r="OM50" s="2"/>
      <c r="ON50" s="2"/>
      <c r="OO50" s="2"/>
      <c r="OP50" s="2"/>
      <c r="OQ50" s="2"/>
      <c r="OR50" s="2"/>
      <c r="OS50" s="2"/>
      <c r="OT50" s="2"/>
      <c r="OU50" s="2"/>
      <c r="OV50" s="2"/>
      <c r="OW50" s="2"/>
      <c r="OX50" s="2"/>
      <c r="OY50" s="2"/>
      <c r="OZ50" s="2"/>
      <c r="PA50" s="2"/>
      <c r="PB50" s="2"/>
      <c r="PC50" s="2"/>
      <c r="PD50" s="2"/>
      <c r="PE50" s="2"/>
      <c r="PF50" s="2"/>
      <c r="PG50" s="2"/>
      <c r="PH50" s="2"/>
      <c r="PI50" s="2"/>
      <c r="PJ50" s="2"/>
      <c r="PK50" s="2"/>
      <c r="PL50" s="2"/>
      <c r="PM50" s="2"/>
      <c r="PN50" s="2"/>
      <c r="PO50" s="2"/>
      <c r="PP50" s="2"/>
      <c r="PQ50" s="2"/>
      <c r="PR50" s="2"/>
      <c r="PS50" s="2"/>
      <c r="PT50" s="2"/>
      <c r="PU50" s="2"/>
      <c r="PV50" s="2"/>
      <c r="PW50" s="2"/>
      <c r="PX50" s="2"/>
      <c r="PY50" s="2"/>
      <c r="PZ50" s="2"/>
      <c r="QA50" s="2"/>
      <c r="QB50" s="2"/>
      <c r="QC50" s="2"/>
      <c r="QD50" s="2"/>
      <c r="QE50" s="2"/>
      <c r="QF50" s="2"/>
      <c r="QG50" s="2"/>
      <c r="QH50" s="2"/>
      <c r="QI50" s="2"/>
      <c r="QJ50" s="2"/>
      <c r="QK50" s="2"/>
      <c r="QL50" s="2"/>
      <c r="QM50" s="2"/>
      <c r="QN50" s="2"/>
      <c r="QO50" s="2"/>
      <c r="QP50" s="2"/>
      <c r="QQ50" s="2"/>
      <c r="QR50" s="2"/>
      <c r="QS50" s="2"/>
      <c r="QT50" s="2"/>
      <c r="QU50" s="2"/>
      <c r="QV50" s="2"/>
      <c r="QW50" s="2"/>
      <c r="QX50" s="2"/>
      <c r="QY50" s="2"/>
      <c r="QZ50" s="2"/>
      <c r="RA50" s="2"/>
      <c r="RB50" s="2"/>
      <c r="RC50" s="2"/>
      <c r="RD50" s="2"/>
      <c r="RE50" s="2"/>
      <c r="RF50" s="2"/>
      <c r="RG50" s="2"/>
      <c r="RH50" s="2"/>
      <c r="RI50" s="2"/>
      <c r="RJ50" s="2"/>
      <c r="RK50" s="2"/>
      <c r="RL50" s="2"/>
      <c r="RM50" s="2"/>
      <c r="RN50" s="2"/>
      <c r="RO50" s="2"/>
      <c r="RP50" s="2"/>
      <c r="RQ50" s="2"/>
      <c r="RR50" s="2"/>
      <c r="RS50" s="2"/>
      <c r="RT50" s="2"/>
      <c r="RU50" s="2"/>
      <c r="RV50" s="2"/>
      <c r="RW50" s="2"/>
      <c r="RX50" s="2"/>
      <c r="RY50" s="2"/>
      <c r="RZ50" s="2"/>
      <c r="SA50" s="2"/>
      <c r="SB50" s="2"/>
      <c r="SC50" s="2"/>
      <c r="SD50" s="2"/>
      <c r="SE50" s="2"/>
      <c r="SF50" s="2"/>
      <c r="SG50" s="2"/>
      <c r="SH50" s="2"/>
      <c r="SI50" s="2"/>
      <c r="SJ50" s="2"/>
      <c r="SK50" s="2"/>
      <c r="SL50" s="2"/>
      <c r="SM50" s="2"/>
      <c r="SN50" s="2"/>
      <c r="SO50" s="2"/>
      <c r="SP50" s="2"/>
      <c r="SQ50" s="2"/>
      <c r="SR50" s="2"/>
      <c r="SS50" s="2"/>
      <c r="ST50" s="2"/>
      <c r="SU50" s="2"/>
      <c r="SV50" s="2"/>
      <c r="SW50" s="2"/>
      <c r="SX50" s="2"/>
      <c r="SY50" s="2"/>
      <c r="SZ50" s="2"/>
      <c r="TA50" s="2"/>
      <c r="TB50" s="2"/>
      <c r="TC50" s="2"/>
      <c r="TD50" s="2"/>
      <c r="TE50" s="2"/>
      <c r="TF50" s="2"/>
      <c r="TG50" s="2"/>
      <c r="TH50" s="2"/>
      <c r="TI50" s="2"/>
      <c r="TJ50" s="2"/>
      <c r="TK50" s="2"/>
      <c r="TL50" s="2"/>
      <c r="TM50" s="2"/>
      <c r="TN50" s="2"/>
      <c r="TO50" s="2"/>
      <c r="TP50" s="2"/>
      <c r="TQ50" s="2"/>
      <c r="TR50" s="2"/>
      <c r="TS50" s="2"/>
      <c r="TT50" s="2"/>
      <c r="TU50" s="2"/>
      <c r="TV50" s="2"/>
      <c r="TW50" s="2"/>
      <c r="TX50" s="2"/>
      <c r="TY50" s="2"/>
      <c r="TZ50" s="2"/>
      <c r="UA50" s="2"/>
      <c r="UB50" s="2"/>
      <c r="UC50" s="2"/>
      <c r="UD50" s="2"/>
      <c r="UE50" s="2"/>
      <c r="UF50" s="2"/>
      <c r="UG50" s="2"/>
      <c r="UH50" s="2"/>
      <c r="UI50" s="2"/>
      <c r="UJ50" s="2"/>
      <c r="UK50" s="2"/>
      <c r="UL50" s="2"/>
      <c r="UM50" s="2"/>
      <c r="UN50" s="2"/>
      <c r="UO50" s="2"/>
      <c r="UP50" s="2"/>
      <c r="UQ50" s="2"/>
      <c r="UR50" s="2"/>
      <c r="US50" s="2"/>
      <c r="UT50" s="2"/>
      <c r="UU50" s="2"/>
      <c r="UV50" s="2"/>
      <c r="UW50" s="2"/>
      <c r="UX50" s="2"/>
      <c r="UY50" s="2"/>
      <c r="UZ50" s="2"/>
      <c r="VA50" s="2"/>
      <c r="VB50" s="2"/>
      <c r="VC50" s="2"/>
      <c r="VD50" s="2"/>
      <c r="VE50" s="2"/>
      <c r="VF50" s="2"/>
      <c r="VG50" s="2"/>
      <c r="VH50" s="2"/>
      <c r="VI50" s="2"/>
      <c r="VJ50" s="2"/>
      <c r="VK50" s="2"/>
      <c r="VL50" s="2"/>
      <c r="VM50" s="2"/>
      <c r="VN50" s="2"/>
      <c r="VO50" s="2"/>
      <c r="VP50" s="2"/>
      <c r="VQ50" s="2"/>
      <c r="VR50" s="2"/>
      <c r="VS50" s="2"/>
      <c r="VT50" s="2"/>
      <c r="VU50" s="2"/>
      <c r="VV50" s="2"/>
      <c r="VW50" s="2"/>
      <c r="VX50" s="2"/>
      <c r="VY50" s="2"/>
      <c r="VZ50" s="2"/>
      <c r="WA50" s="2"/>
      <c r="WB50" s="2"/>
      <c r="WC50" s="2"/>
      <c r="WD50" s="2"/>
      <c r="WE50" s="2"/>
      <c r="WF50" s="2"/>
      <c r="WG50" s="2"/>
      <c r="WH50" s="2"/>
      <c r="WI50" s="2"/>
      <c r="WJ50" s="2"/>
      <c r="WK50" s="2"/>
      <c r="WL50" s="2"/>
      <c r="WM50" s="2"/>
      <c r="WN50" s="2"/>
      <c r="WO50" s="2"/>
      <c r="WP50" s="2"/>
      <c r="WQ50" s="2"/>
      <c r="WR50" s="2"/>
      <c r="WS50" s="2"/>
      <c r="WT50" s="2"/>
      <c r="WU50" s="2"/>
      <c r="WV50" s="2"/>
      <c r="WW50" s="2"/>
      <c r="WX50" s="2"/>
      <c r="WY50" s="2"/>
      <c r="WZ50" s="2"/>
      <c r="XA50" s="2"/>
      <c r="XB50" s="2"/>
      <c r="XC50" s="2"/>
      <c r="XD50" s="2"/>
      <c r="XE50" s="2"/>
      <c r="XF50" s="2"/>
      <c r="XG50" s="2"/>
      <c r="XH50" s="2"/>
      <c r="XI50" s="2"/>
      <c r="XJ50" s="2"/>
      <c r="XK50" s="2"/>
      <c r="XL50" s="2"/>
      <c r="XM50" s="2"/>
      <c r="XN50" s="2"/>
      <c r="XO50" s="2"/>
      <c r="XP50" s="2"/>
      <c r="XQ50" s="2"/>
      <c r="XR50" s="2"/>
      <c r="XS50" s="2"/>
      <c r="XT50" s="2"/>
      <c r="XU50" s="2"/>
      <c r="XV50" s="2"/>
      <c r="XW50" s="2"/>
      <c r="XX50" s="2"/>
      <c r="XY50" s="2"/>
      <c r="XZ50" s="2"/>
      <c r="YA50" s="2"/>
      <c r="YB50" s="2"/>
      <c r="YC50" s="2"/>
      <c r="YD50" s="2"/>
      <c r="YE50" s="2"/>
      <c r="YF50" s="2"/>
      <c r="YG50" s="2"/>
      <c r="YH50" s="2"/>
      <c r="YI50" s="2"/>
      <c r="YJ50" s="2"/>
      <c r="YK50" s="2"/>
      <c r="YL50" s="2"/>
      <c r="YM50" s="2"/>
      <c r="YN50" s="2"/>
      <c r="YO50" s="2"/>
      <c r="YP50" s="2"/>
      <c r="YQ50" s="2"/>
      <c r="YR50" s="2"/>
      <c r="YS50" s="2"/>
      <c r="YT50" s="2"/>
      <c r="YU50" s="2"/>
      <c r="YV50" s="2"/>
      <c r="YW50" s="2"/>
      <c r="YX50" s="2"/>
      <c r="YY50" s="2"/>
      <c r="YZ50" s="2"/>
      <c r="ZA50" s="2"/>
      <c r="ZB50" s="2"/>
      <c r="ZC50" s="2"/>
      <c r="ZD50" s="2"/>
      <c r="ZE50" s="2"/>
      <c r="ZF50" s="2"/>
      <c r="ZG50" s="2"/>
      <c r="ZH50" s="2"/>
      <c r="ZI50" s="2"/>
      <c r="ZJ50" s="2"/>
      <c r="ZK50" s="2"/>
      <c r="ZL50" s="2"/>
      <c r="ZM50" s="2"/>
      <c r="ZN50" s="2"/>
      <c r="ZO50" s="2"/>
      <c r="ZP50" s="2"/>
      <c r="ZQ50" s="2"/>
      <c r="ZR50" s="2"/>
      <c r="ZS50" s="2"/>
      <c r="ZT50" s="2"/>
      <c r="ZU50" s="2"/>
      <c r="ZV50" s="2"/>
      <c r="ZW50" s="2"/>
      <c r="ZX50" s="2"/>
      <c r="ZY50" s="2"/>
      <c r="ZZ50" s="2"/>
      <c r="AAA50" s="2"/>
      <c r="AAB50" s="2"/>
      <c r="AAC50" s="2"/>
      <c r="AAD50" s="2"/>
      <c r="AAE50" s="2"/>
      <c r="AAF50" s="2"/>
      <c r="AAG50" s="2"/>
      <c r="AAH50" s="2"/>
      <c r="AAI50" s="2"/>
      <c r="AAJ50" s="2"/>
      <c r="AAK50" s="2"/>
      <c r="AAL50" s="2"/>
      <c r="AAM50" s="2"/>
      <c r="AAN50" s="2"/>
      <c r="AAO50" s="2"/>
      <c r="AAP50" s="2"/>
      <c r="AAQ50" s="2"/>
      <c r="AAR50" s="2"/>
      <c r="AAS50" s="2"/>
      <c r="AAT50" s="2"/>
      <c r="AAU50" s="2"/>
      <c r="AAV50" s="2"/>
      <c r="AAW50" s="2"/>
      <c r="AAX50" s="2"/>
      <c r="AAY50" s="2"/>
      <c r="AAZ50" s="2"/>
      <c r="ABA50" s="2"/>
      <c r="ABB50" s="2"/>
      <c r="ABC50" s="2"/>
      <c r="ABD50" s="2"/>
      <c r="ABE50" s="2"/>
      <c r="ABF50" s="2"/>
      <c r="ABG50" s="2"/>
      <c r="ABH50" s="2"/>
      <c r="ABI50" s="2"/>
      <c r="ABJ50" s="2"/>
      <c r="ABK50" s="2"/>
      <c r="ABL50" s="2"/>
      <c r="ABM50" s="2"/>
      <c r="ABN50" s="2"/>
      <c r="ABO50" s="2"/>
      <c r="ABP50" s="2"/>
      <c r="ABQ50" s="2"/>
      <c r="ABR50" s="2"/>
      <c r="ABS50" s="2"/>
      <c r="ABT50" s="2"/>
      <c r="ABU50" s="2"/>
      <c r="ABV50" s="2"/>
      <c r="ABW50" s="2"/>
      <c r="ABX50" s="2"/>
      <c r="ABY50" s="2"/>
      <c r="ABZ50" s="2"/>
      <c r="ACA50" s="2"/>
      <c r="ACB50" s="2"/>
      <c r="ACC50" s="2"/>
      <c r="ACD50" s="2"/>
      <c r="ACE50" s="2"/>
      <c r="ACF50" s="2"/>
      <c r="ACG50" s="2"/>
      <c r="ACH50" s="2"/>
      <c r="ACI50" s="2"/>
      <c r="ACJ50" s="2"/>
      <c r="ACK50" s="2"/>
      <c r="ACL50" s="2"/>
      <c r="ACM50" s="2"/>
      <c r="ACN50" s="2"/>
      <c r="ACO50" s="2"/>
      <c r="ACP50" s="2"/>
      <c r="ACQ50" s="2"/>
      <c r="ACR50" s="2"/>
      <c r="ACS50" s="2"/>
      <c r="ACT50" s="2"/>
      <c r="ACU50" s="2"/>
      <c r="ACV50" s="2"/>
      <c r="ACW50" s="2"/>
      <c r="ACX50" s="2"/>
      <c r="ACY50" s="2"/>
      <c r="ACZ50" s="2"/>
      <c r="ADA50" s="2"/>
      <c r="ADB50" s="2"/>
      <c r="ADC50" s="2"/>
      <c r="ADD50" s="2"/>
      <c r="ADE50" s="2"/>
      <c r="ADF50" s="2"/>
      <c r="ADG50" s="2"/>
      <c r="ADH50" s="2"/>
      <c r="ADI50" s="2"/>
      <c r="ADJ50" s="2"/>
      <c r="ADK50" s="2"/>
      <c r="ADL50" s="2"/>
      <c r="ADM50" s="2"/>
      <c r="ADN50" s="2"/>
      <c r="ADO50" s="2"/>
      <c r="ADP50" s="2"/>
      <c r="ADQ50" s="2"/>
      <c r="ADR50" s="2"/>
      <c r="ADS50" s="2"/>
      <c r="ADT50" s="2"/>
      <c r="ADU50" s="2"/>
      <c r="ADV50" s="2"/>
      <c r="ADW50" s="2"/>
      <c r="ADX50" s="2"/>
      <c r="ADY50" s="2"/>
      <c r="ADZ50" s="2"/>
      <c r="AEA50" s="2"/>
      <c r="AEB50" s="2"/>
      <c r="AEC50" s="2"/>
      <c r="AED50" s="2"/>
      <c r="AEE50" s="2"/>
      <c r="AEF50" s="2"/>
      <c r="AEG50" s="2"/>
      <c r="AEH50" s="2"/>
      <c r="AEI50" s="2"/>
      <c r="AEJ50" s="2"/>
      <c r="AEK50" s="2"/>
      <c r="AEL50" s="2"/>
      <c r="AEM50" s="2"/>
      <c r="AEN50" s="2"/>
      <c r="AEO50" s="2"/>
      <c r="AEP50" s="2"/>
      <c r="AEQ50" s="2"/>
      <c r="AER50" s="2"/>
      <c r="AES50" s="2"/>
      <c r="AET50" s="2"/>
      <c r="AEU50" s="2"/>
      <c r="AEV50" s="2"/>
      <c r="AEW50" s="2"/>
      <c r="AEX50" s="2"/>
      <c r="AEY50" s="2"/>
      <c r="AEZ50" s="2"/>
      <c r="AFA50" s="2"/>
      <c r="AFB50" s="2"/>
      <c r="AFC50" s="2"/>
      <c r="AFD50" s="2"/>
      <c r="AFE50" s="2"/>
      <c r="AFF50" s="2"/>
      <c r="AFG50" s="2"/>
      <c r="AFH50" s="2"/>
      <c r="AFI50" s="2"/>
      <c r="AFJ50" s="2"/>
      <c r="AFK50" s="2"/>
      <c r="AFL50" s="2"/>
      <c r="AFM50" s="2"/>
      <c r="AFN50" s="2"/>
      <c r="AFO50" s="2"/>
      <c r="AFP50" s="2"/>
      <c r="AFQ50" s="2"/>
      <c r="AFR50" s="2"/>
      <c r="AFS50" s="2"/>
      <c r="AFT50" s="2"/>
      <c r="AFU50" s="2"/>
      <c r="AFV50" s="2"/>
      <c r="AFW50" s="2"/>
      <c r="AFX50" s="2"/>
      <c r="AFY50" s="2"/>
      <c r="AFZ50" s="2"/>
      <c r="AGA50" s="2"/>
      <c r="AGB50" s="2"/>
      <c r="AGC50" s="2"/>
      <c r="AGD50" s="2"/>
      <c r="AGE50" s="2"/>
      <c r="AGF50" s="2"/>
      <c r="AGG50" s="2"/>
      <c r="AGH50" s="2"/>
      <c r="AGI50" s="2"/>
      <c r="AGJ50" s="2"/>
      <c r="AGK50" s="2"/>
      <c r="AGL50" s="2"/>
      <c r="AGM50" s="2"/>
      <c r="AGN50" s="2"/>
      <c r="AGO50" s="2"/>
      <c r="AGP50" s="2"/>
      <c r="AGQ50" s="2"/>
      <c r="AGR50" s="2"/>
      <c r="AGS50" s="2"/>
      <c r="AGT50" s="2"/>
      <c r="AGU50" s="2"/>
      <c r="AGV50" s="2"/>
      <c r="AGW50" s="2"/>
      <c r="AGX50" s="2"/>
      <c r="AGY50" s="2"/>
      <c r="AGZ50" s="2"/>
      <c r="AHA50" s="2"/>
      <c r="AHB50" s="2"/>
      <c r="AHC50" s="2"/>
      <c r="AHD50" s="2"/>
      <c r="AHE50" s="2"/>
      <c r="AHF50" s="2"/>
      <c r="AHG50" s="2"/>
      <c r="AHH50" s="2"/>
      <c r="AHI50" s="2"/>
      <c r="AHJ50" s="2"/>
      <c r="AHK50" s="2"/>
      <c r="AHL50" s="2"/>
      <c r="AHM50" s="2"/>
      <c r="AHN50" s="2"/>
      <c r="AHO50" s="2"/>
      <c r="AHP50" s="2"/>
      <c r="AHQ50" s="2"/>
      <c r="AHR50" s="2"/>
      <c r="AHS50" s="2"/>
      <c r="AHT50" s="2"/>
      <c r="AHU50" s="2"/>
      <c r="AHV50" s="2"/>
      <c r="AHW50" s="2"/>
      <c r="AHX50" s="2"/>
      <c r="AHY50" s="2"/>
      <c r="AHZ50" s="2"/>
      <c r="AIA50" s="2"/>
      <c r="AIB50" s="2"/>
      <c r="AIC50" s="2"/>
      <c r="AID50" s="2"/>
      <c r="AIE50" s="2"/>
      <c r="AIF50" s="2"/>
      <c r="AIG50" s="2"/>
      <c r="AIH50" s="2"/>
      <c r="AII50" s="2"/>
      <c r="AIJ50" s="2"/>
      <c r="AIK50" s="2"/>
      <c r="AIL50" s="2"/>
      <c r="AIM50" s="2"/>
      <c r="AIN50" s="2"/>
      <c r="AIO50" s="2"/>
      <c r="AIP50" s="2"/>
      <c r="AIQ50" s="2"/>
      <c r="AIR50" s="2"/>
      <c r="AIS50" s="2"/>
      <c r="AIT50" s="2"/>
      <c r="AIU50" s="2"/>
      <c r="AIV50" s="2"/>
      <c r="AIW50" s="2"/>
      <c r="AIX50" s="2"/>
      <c r="AIY50" s="2"/>
      <c r="AIZ50" s="2"/>
      <c r="AJA50" s="2"/>
      <c r="AJB50" s="2"/>
      <c r="AJC50" s="2"/>
      <c r="AJD50" s="2"/>
      <c r="AJE50" s="2"/>
      <c r="AJF50" s="2"/>
      <c r="AJG50" s="2"/>
      <c r="AJH50" s="2"/>
      <c r="AJI50" s="2"/>
      <c r="AJJ50" s="2"/>
      <c r="AJK50" s="2"/>
      <c r="AJL50" s="2"/>
      <c r="AJM50" s="2"/>
      <c r="AJN50" s="2"/>
      <c r="AJO50" s="2"/>
      <c r="AJP50" s="2"/>
      <c r="AJQ50" s="2"/>
      <c r="AJR50" s="2"/>
      <c r="AJS50" s="2"/>
      <c r="AJT50" s="2"/>
      <c r="AJU50" s="2"/>
      <c r="AJV50" s="2"/>
      <c r="AJW50" s="2"/>
      <c r="AJX50" s="2"/>
      <c r="AJY50" s="2"/>
      <c r="AJZ50" s="2"/>
    </row>
    <row r="51" spans="1:962">
      <c r="A51" s="16">
        <v>50</v>
      </c>
      <c r="B51" s="16">
        <v>1</v>
      </c>
      <c r="C51" s="16">
        <v>7.07</v>
      </c>
      <c r="D51" s="9">
        <v>5.7</v>
      </c>
      <c r="E51" s="9">
        <v>1</v>
      </c>
      <c r="F51" s="9">
        <v>0.25</v>
      </c>
      <c r="G51" s="16">
        <v>363</v>
      </c>
      <c r="H51" s="17">
        <v>2</v>
      </c>
      <c r="I51" s="9">
        <f t="shared" si="0"/>
        <v>5.7</v>
      </c>
      <c r="J51" s="9">
        <f t="shared" si="1"/>
        <v>0.25</v>
      </c>
      <c r="K51" s="9">
        <f t="shared" si="2"/>
        <v>363</v>
      </c>
      <c r="L51" s="9">
        <f t="shared" si="3"/>
        <v>2069.1</v>
      </c>
      <c r="M51" s="16">
        <v>4</v>
      </c>
      <c r="N51" s="16" t="s">
        <v>30</v>
      </c>
      <c r="O51" s="16">
        <v>3.5</v>
      </c>
      <c r="P51" s="9">
        <v>7.07</v>
      </c>
      <c r="Q51" s="9">
        <v>5.7</v>
      </c>
      <c r="R51" s="9">
        <v>1</v>
      </c>
      <c r="S51" s="9">
        <v>0.25</v>
      </c>
      <c r="T51" s="9">
        <v>0.12</v>
      </c>
      <c r="U51" s="9">
        <v>0</v>
      </c>
      <c r="V51" s="9">
        <v>0.01</v>
      </c>
      <c r="W51" s="18">
        <v>9.58</v>
      </c>
      <c r="X51" s="19">
        <v>132</v>
      </c>
      <c r="Y51" s="16">
        <v>0.43</v>
      </c>
      <c r="Z51" s="16">
        <v>363</v>
      </c>
      <c r="AA51" s="16">
        <v>0.3</v>
      </c>
      <c r="AB51" s="16"/>
      <c r="AC51" s="16">
        <v>143.19999999999999</v>
      </c>
      <c r="AD51" s="16">
        <v>3.8</v>
      </c>
      <c r="AE51" s="16">
        <v>112.5</v>
      </c>
      <c r="AF51" s="16">
        <v>1.86</v>
      </c>
      <c r="AG51" s="16">
        <v>1.97</v>
      </c>
      <c r="AH51" s="16">
        <v>29.4</v>
      </c>
      <c r="AI51" s="16">
        <v>152.1</v>
      </c>
      <c r="AJ51" s="16">
        <v>13.7</v>
      </c>
      <c r="AK51" s="16">
        <v>24.4</v>
      </c>
      <c r="AL51" s="16">
        <v>35</v>
      </c>
      <c r="AM51" s="16">
        <v>15.8</v>
      </c>
      <c r="AN51" s="16">
        <v>1.046</v>
      </c>
      <c r="AO51" s="16">
        <v>17.02</v>
      </c>
      <c r="AP51" s="16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  <c r="LB51" s="2"/>
      <c r="LC51" s="2"/>
      <c r="LD51" s="2"/>
      <c r="LE51" s="2"/>
      <c r="LF51" s="2"/>
      <c r="LG51" s="2"/>
      <c r="LH51" s="2"/>
      <c r="LI51" s="2"/>
      <c r="LJ51" s="2"/>
      <c r="LK51" s="2"/>
      <c r="LL51" s="2"/>
      <c r="LM51" s="2"/>
      <c r="LN51" s="2"/>
      <c r="LO51" s="2"/>
      <c r="LP51" s="2"/>
      <c r="LQ51" s="2"/>
      <c r="LR51" s="2"/>
      <c r="LS51" s="2"/>
      <c r="LT51" s="2"/>
      <c r="LU51" s="2"/>
      <c r="LV51" s="2"/>
      <c r="LW51" s="2"/>
      <c r="LX51" s="2"/>
      <c r="LY51" s="2"/>
      <c r="LZ51" s="2"/>
      <c r="MA51" s="2"/>
      <c r="MB51" s="2"/>
      <c r="MC51" s="2"/>
      <c r="MD51" s="2"/>
      <c r="ME51" s="2"/>
      <c r="MF51" s="2"/>
      <c r="MG51" s="2"/>
      <c r="MH51" s="2"/>
      <c r="MI51" s="2"/>
      <c r="MJ51" s="2"/>
      <c r="MK51" s="2"/>
      <c r="ML51" s="2"/>
      <c r="MM51" s="2"/>
      <c r="MN51" s="2"/>
      <c r="MO51" s="2"/>
      <c r="MP51" s="2"/>
      <c r="MQ51" s="2"/>
      <c r="MR51" s="2"/>
      <c r="MS51" s="2"/>
      <c r="MT51" s="2"/>
      <c r="MU51" s="2"/>
      <c r="MV51" s="2"/>
      <c r="MW51" s="2"/>
      <c r="MX51" s="2"/>
      <c r="MY51" s="2"/>
      <c r="MZ51" s="2"/>
      <c r="NA51" s="2"/>
      <c r="NB51" s="2"/>
      <c r="NC51" s="2"/>
      <c r="ND51" s="2"/>
      <c r="NE51" s="2"/>
      <c r="NF51" s="2"/>
      <c r="NG51" s="2"/>
      <c r="NH51" s="2"/>
      <c r="NI51" s="2"/>
      <c r="NJ51" s="2"/>
      <c r="NK51" s="2"/>
      <c r="NL51" s="2"/>
      <c r="NM51" s="2"/>
      <c r="NN51" s="2"/>
      <c r="NO51" s="2"/>
      <c r="NP51" s="2"/>
      <c r="NQ51" s="2"/>
      <c r="NR51" s="2"/>
      <c r="NS51" s="2"/>
      <c r="NT51" s="2"/>
      <c r="NU51" s="2"/>
      <c r="NV51" s="2"/>
      <c r="NW51" s="2"/>
      <c r="NX51" s="2"/>
      <c r="NY51" s="2"/>
      <c r="NZ51" s="2"/>
      <c r="OA51" s="2"/>
      <c r="OB51" s="2"/>
      <c r="OC51" s="2"/>
      <c r="OD51" s="2"/>
      <c r="OE51" s="2"/>
      <c r="OF51" s="2"/>
      <c r="OG51" s="2"/>
      <c r="OH51" s="2"/>
      <c r="OI51" s="2"/>
      <c r="OJ51" s="2"/>
      <c r="OK51" s="2"/>
      <c r="OL51" s="2"/>
      <c r="OM51" s="2"/>
      <c r="ON51" s="2"/>
      <c r="OO51" s="2"/>
      <c r="OP51" s="2"/>
      <c r="OQ51" s="2"/>
      <c r="OR51" s="2"/>
      <c r="OS51" s="2"/>
      <c r="OT51" s="2"/>
      <c r="OU51" s="2"/>
      <c r="OV51" s="2"/>
      <c r="OW51" s="2"/>
      <c r="OX51" s="2"/>
      <c r="OY51" s="2"/>
      <c r="OZ51" s="2"/>
      <c r="PA51" s="2"/>
      <c r="PB51" s="2"/>
      <c r="PC51" s="2"/>
      <c r="PD51" s="2"/>
      <c r="PE51" s="2"/>
      <c r="PF51" s="2"/>
      <c r="PG51" s="2"/>
      <c r="PH51" s="2"/>
      <c r="PI51" s="2"/>
      <c r="PJ51" s="2"/>
      <c r="PK51" s="2"/>
      <c r="PL51" s="2"/>
      <c r="PM51" s="2"/>
      <c r="PN51" s="2"/>
      <c r="PO51" s="2"/>
      <c r="PP51" s="2"/>
      <c r="PQ51" s="2"/>
      <c r="PR51" s="2"/>
      <c r="PS51" s="2"/>
      <c r="PT51" s="2"/>
      <c r="PU51" s="2"/>
      <c r="PV51" s="2"/>
      <c r="PW51" s="2"/>
      <c r="PX51" s="2"/>
      <c r="PY51" s="2"/>
      <c r="PZ51" s="2"/>
      <c r="QA51" s="2"/>
      <c r="QB51" s="2"/>
      <c r="QC51" s="2"/>
      <c r="QD51" s="2"/>
      <c r="QE51" s="2"/>
      <c r="QF51" s="2"/>
      <c r="QG51" s="2"/>
      <c r="QH51" s="2"/>
      <c r="QI51" s="2"/>
      <c r="QJ51" s="2"/>
      <c r="QK51" s="2"/>
      <c r="QL51" s="2"/>
      <c r="QM51" s="2"/>
      <c r="QN51" s="2"/>
      <c r="QO51" s="2"/>
      <c r="QP51" s="2"/>
      <c r="QQ51" s="2"/>
      <c r="QR51" s="2"/>
      <c r="QS51" s="2"/>
      <c r="QT51" s="2"/>
      <c r="QU51" s="2"/>
      <c r="QV51" s="2"/>
      <c r="QW51" s="2"/>
      <c r="QX51" s="2"/>
      <c r="QY51" s="2"/>
      <c r="QZ51" s="2"/>
      <c r="RA51" s="2"/>
      <c r="RB51" s="2"/>
      <c r="RC51" s="2"/>
      <c r="RD51" s="2"/>
      <c r="RE51" s="2"/>
      <c r="RF51" s="2"/>
      <c r="RG51" s="2"/>
      <c r="RH51" s="2"/>
      <c r="RI51" s="2"/>
      <c r="RJ51" s="2"/>
      <c r="RK51" s="2"/>
      <c r="RL51" s="2"/>
      <c r="RM51" s="2"/>
      <c r="RN51" s="2"/>
      <c r="RO51" s="2"/>
      <c r="RP51" s="2"/>
      <c r="RQ51" s="2"/>
      <c r="RR51" s="2"/>
      <c r="RS51" s="2"/>
      <c r="RT51" s="2"/>
      <c r="RU51" s="2"/>
      <c r="RV51" s="2"/>
      <c r="RW51" s="2"/>
      <c r="RX51" s="2"/>
      <c r="RY51" s="2"/>
      <c r="RZ51" s="2"/>
      <c r="SA51" s="2"/>
      <c r="SB51" s="2"/>
      <c r="SC51" s="2"/>
      <c r="SD51" s="2"/>
      <c r="SE51" s="2"/>
      <c r="SF51" s="2"/>
      <c r="SG51" s="2"/>
      <c r="SH51" s="2"/>
      <c r="SI51" s="2"/>
      <c r="SJ51" s="2"/>
      <c r="SK51" s="2"/>
      <c r="SL51" s="2"/>
      <c r="SM51" s="2"/>
      <c r="SN51" s="2"/>
      <c r="SO51" s="2"/>
      <c r="SP51" s="2"/>
      <c r="SQ51" s="2"/>
      <c r="SR51" s="2"/>
      <c r="SS51" s="2"/>
      <c r="ST51" s="2"/>
      <c r="SU51" s="2"/>
      <c r="SV51" s="2"/>
      <c r="SW51" s="2"/>
      <c r="SX51" s="2"/>
      <c r="SY51" s="2"/>
      <c r="SZ51" s="2"/>
      <c r="TA51" s="2"/>
      <c r="TB51" s="2"/>
      <c r="TC51" s="2"/>
      <c r="TD51" s="2"/>
      <c r="TE51" s="2"/>
      <c r="TF51" s="2"/>
      <c r="TG51" s="2"/>
      <c r="TH51" s="2"/>
      <c r="TI51" s="2"/>
      <c r="TJ51" s="2"/>
      <c r="TK51" s="2"/>
      <c r="TL51" s="2"/>
      <c r="TM51" s="2"/>
      <c r="TN51" s="2"/>
      <c r="TO51" s="2"/>
      <c r="TP51" s="2"/>
      <c r="TQ51" s="2"/>
      <c r="TR51" s="2"/>
      <c r="TS51" s="2"/>
      <c r="TT51" s="2"/>
      <c r="TU51" s="2"/>
      <c r="TV51" s="2"/>
      <c r="TW51" s="2"/>
      <c r="TX51" s="2"/>
      <c r="TY51" s="2"/>
      <c r="TZ51" s="2"/>
      <c r="UA51" s="2"/>
      <c r="UB51" s="2"/>
      <c r="UC51" s="2"/>
      <c r="UD51" s="2"/>
      <c r="UE51" s="2"/>
      <c r="UF51" s="2"/>
      <c r="UG51" s="2"/>
      <c r="UH51" s="2"/>
      <c r="UI51" s="2"/>
      <c r="UJ51" s="2"/>
      <c r="UK51" s="2"/>
      <c r="UL51" s="2"/>
      <c r="UM51" s="2"/>
      <c r="UN51" s="2"/>
      <c r="UO51" s="2"/>
      <c r="UP51" s="2"/>
      <c r="UQ51" s="2"/>
      <c r="UR51" s="2"/>
      <c r="US51" s="2"/>
      <c r="UT51" s="2"/>
      <c r="UU51" s="2"/>
      <c r="UV51" s="2"/>
      <c r="UW51" s="2"/>
      <c r="UX51" s="2"/>
      <c r="UY51" s="2"/>
      <c r="UZ51" s="2"/>
      <c r="VA51" s="2"/>
      <c r="VB51" s="2"/>
      <c r="VC51" s="2"/>
      <c r="VD51" s="2"/>
      <c r="VE51" s="2"/>
      <c r="VF51" s="2"/>
      <c r="VG51" s="2"/>
      <c r="VH51" s="2"/>
      <c r="VI51" s="2"/>
      <c r="VJ51" s="2"/>
      <c r="VK51" s="2"/>
      <c r="VL51" s="2"/>
      <c r="VM51" s="2"/>
      <c r="VN51" s="2"/>
      <c r="VO51" s="2"/>
      <c r="VP51" s="2"/>
      <c r="VQ51" s="2"/>
      <c r="VR51" s="2"/>
      <c r="VS51" s="2"/>
      <c r="VT51" s="2"/>
      <c r="VU51" s="2"/>
      <c r="VV51" s="2"/>
      <c r="VW51" s="2"/>
      <c r="VX51" s="2"/>
      <c r="VY51" s="2"/>
      <c r="VZ51" s="2"/>
      <c r="WA51" s="2"/>
      <c r="WB51" s="2"/>
      <c r="WC51" s="2"/>
      <c r="WD51" s="2"/>
      <c r="WE51" s="2"/>
      <c r="WF51" s="2"/>
      <c r="WG51" s="2"/>
      <c r="WH51" s="2"/>
      <c r="WI51" s="2"/>
      <c r="WJ51" s="2"/>
      <c r="WK51" s="2"/>
      <c r="WL51" s="2"/>
      <c r="WM51" s="2"/>
      <c r="WN51" s="2"/>
      <c r="WO51" s="2"/>
      <c r="WP51" s="2"/>
      <c r="WQ51" s="2"/>
      <c r="WR51" s="2"/>
      <c r="WS51" s="2"/>
      <c r="WT51" s="2"/>
      <c r="WU51" s="2"/>
      <c r="WV51" s="2"/>
      <c r="WW51" s="2"/>
      <c r="WX51" s="2"/>
      <c r="WY51" s="2"/>
      <c r="WZ51" s="2"/>
      <c r="XA51" s="2"/>
      <c r="XB51" s="2"/>
      <c r="XC51" s="2"/>
      <c r="XD51" s="2"/>
      <c r="XE51" s="2"/>
      <c r="XF51" s="2"/>
      <c r="XG51" s="2"/>
      <c r="XH51" s="2"/>
      <c r="XI51" s="2"/>
      <c r="XJ51" s="2"/>
      <c r="XK51" s="2"/>
      <c r="XL51" s="2"/>
      <c r="XM51" s="2"/>
      <c r="XN51" s="2"/>
      <c r="XO51" s="2"/>
      <c r="XP51" s="2"/>
      <c r="XQ51" s="2"/>
      <c r="XR51" s="2"/>
      <c r="XS51" s="2"/>
      <c r="XT51" s="2"/>
      <c r="XU51" s="2"/>
      <c r="XV51" s="2"/>
      <c r="XW51" s="2"/>
      <c r="XX51" s="2"/>
      <c r="XY51" s="2"/>
      <c r="XZ51" s="2"/>
      <c r="YA51" s="2"/>
      <c r="YB51" s="2"/>
      <c r="YC51" s="2"/>
      <c r="YD51" s="2"/>
      <c r="YE51" s="2"/>
      <c r="YF51" s="2"/>
      <c r="YG51" s="2"/>
      <c r="YH51" s="2"/>
      <c r="YI51" s="2"/>
      <c r="YJ51" s="2"/>
      <c r="YK51" s="2"/>
      <c r="YL51" s="2"/>
      <c r="YM51" s="2"/>
      <c r="YN51" s="2"/>
      <c r="YO51" s="2"/>
      <c r="YP51" s="2"/>
      <c r="YQ51" s="2"/>
      <c r="YR51" s="2"/>
      <c r="YS51" s="2"/>
      <c r="YT51" s="2"/>
      <c r="YU51" s="2"/>
      <c r="YV51" s="2"/>
      <c r="YW51" s="2"/>
      <c r="YX51" s="2"/>
      <c r="YY51" s="2"/>
      <c r="YZ51" s="2"/>
      <c r="ZA51" s="2"/>
      <c r="ZB51" s="2"/>
      <c r="ZC51" s="2"/>
      <c r="ZD51" s="2"/>
      <c r="ZE51" s="2"/>
      <c r="ZF51" s="2"/>
      <c r="ZG51" s="2"/>
      <c r="ZH51" s="2"/>
      <c r="ZI51" s="2"/>
      <c r="ZJ51" s="2"/>
      <c r="ZK51" s="2"/>
      <c r="ZL51" s="2"/>
      <c r="ZM51" s="2"/>
      <c r="ZN51" s="2"/>
      <c r="ZO51" s="2"/>
      <c r="ZP51" s="2"/>
      <c r="ZQ51" s="2"/>
      <c r="ZR51" s="2"/>
      <c r="ZS51" s="2"/>
      <c r="ZT51" s="2"/>
      <c r="ZU51" s="2"/>
      <c r="ZV51" s="2"/>
      <c r="ZW51" s="2"/>
      <c r="ZX51" s="2"/>
      <c r="ZY51" s="2"/>
      <c r="ZZ51" s="2"/>
      <c r="AAA51" s="2"/>
      <c r="AAB51" s="2"/>
      <c r="AAC51" s="2"/>
      <c r="AAD51" s="2"/>
      <c r="AAE51" s="2"/>
      <c r="AAF51" s="2"/>
      <c r="AAG51" s="2"/>
      <c r="AAH51" s="2"/>
      <c r="AAI51" s="2"/>
      <c r="AAJ51" s="2"/>
      <c r="AAK51" s="2"/>
      <c r="AAL51" s="2"/>
      <c r="AAM51" s="2"/>
      <c r="AAN51" s="2"/>
      <c r="AAO51" s="2"/>
      <c r="AAP51" s="2"/>
      <c r="AAQ51" s="2"/>
      <c r="AAR51" s="2"/>
      <c r="AAS51" s="2"/>
      <c r="AAT51" s="2"/>
      <c r="AAU51" s="2"/>
      <c r="AAV51" s="2"/>
      <c r="AAW51" s="2"/>
      <c r="AAX51" s="2"/>
      <c r="AAY51" s="2"/>
      <c r="AAZ51" s="2"/>
      <c r="ABA51" s="2"/>
      <c r="ABB51" s="2"/>
      <c r="ABC51" s="2"/>
      <c r="ABD51" s="2"/>
      <c r="ABE51" s="2"/>
      <c r="ABF51" s="2"/>
      <c r="ABG51" s="2"/>
      <c r="ABH51" s="2"/>
      <c r="ABI51" s="2"/>
      <c r="ABJ51" s="2"/>
      <c r="ABK51" s="2"/>
      <c r="ABL51" s="2"/>
      <c r="ABM51" s="2"/>
      <c r="ABN51" s="2"/>
      <c r="ABO51" s="2"/>
      <c r="ABP51" s="2"/>
      <c r="ABQ51" s="2"/>
      <c r="ABR51" s="2"/>
      <c r="ABS51" s="2"/>
      <c r="ABT51" s="2"/>
      <c r="ABU51" s="2"/>
      <c r="ABV51" s="2"/>
      <c r="ABW51" s="2"/>
      <c r="ABX51" s="2"/>
      <c r="ABY51" s="2"/>
      <c r="ABZ51" s="2"/>
      <c r="ACA51" s="2"/>
      <c r="ACB51" s="2"/>
      <c r="ACC51" s="2"/>
      <c r="ACD51" s="2"/>
      <c r="ACE51" s="2"/>
      <c r="ACF51" s="2"/>
      <c r="ACG51" s="2"/>
      <c r="ACH51" s="2"/>
      <c r="ACI51" s="2"/>
      <c r="ACJ51" s="2"/>
      <c r="ACK51" s="2"/>
      <c r="ACL51" s="2"/>
      <c r="ACM51" s="2"/>
      <c r="ACN51" s="2"/>
      <c r="ACO51" s="2"/>
      <c r="ACP51" s="2"/>
      <c r="ACQ51" s="2"/>
      <c r="ACR51" s="2"/>
      <c r="ACS51" s="2"/>
      <c r="ACT51" s="2"/>
      <c r="ACU51" s="2"/>
      <c r="ACV51" s="2"/>
      <c r="ACW51" s="2"/>
      <c r="ACX51" s="2"/>
      <c r="ACY51" s="2"/>
      <c r="ACZ51" s="2"/>
      <c r="ADA51" s="2"/>
      <c r="ADB51" s="2"/>
      <c r="ADC51" s="2"/>
      <c r="ADD51" s="2"/>
      <c r="ADE51" s="2"/>
      <c r="ADF51" s="2"/>
      <c r="ADG51" s="2"/>
      <c r="ADH51" s="2"/>
      <c r="ADI51" s="2"/>
      <c r="ADJ51" s="2"/>
      <c r="ADK51" s="2"/>
      <c r="ADL51" s="2"/>
      <c r="ADM51" s="2"/>
      <c r="ADN51" s="2"/>
      <c r="ADO51" s="2"/>
      <c r="ADP51" s="2"/>
      <c r="ADQ51" s="2"/>
      <c r="ADR51" s="2"/>
      <c r="ADS51" s="2"/>
      <c r="ADT51" s="2"/>
      <c r="ADU51" s="2"/>
      <c r="ADV51" s="2"/>
      <c r="ADW51" s="2"/>
      <c r="ADX51" s="2"/>
      <c r="ADY51" s="2"/>
      <c r="ADZ51" s="2"/>
      <c r="AEA51" s="2"/>
      <c r="AEB51" s="2"/>
      <c r="AEC51" s="2"/>
      <c r="AED51" s="2"/>
      <c r="AEE51" s="2"/>
      <c r="AEF51" s="2"/>
      <c r="AEG51" s="2"/>
      <c r="AEH51" s="2"/>
      <c r="AEI51" s="2"/>
      <c r="AEJ51" s="2"/>
      <c r="AEK51" s="2"/>
      <c r="AEL51" s="2"/>
      <c r="AEM51" s="2"/>
      <c r="AEN51" s="2"/>
      <c r="AEO51" s="2"/>
      <c r="AEP51" s="2"/>
      <c r="AEQ51" s="2"/>
      <c r="AER51" s="2"/>
      <c r="AES51" s="2"/>
      <c r="AET51" s="2"/>
      <c r="AEU51" s="2"/>
      <c r="AEV51" s="2"/>
      <c r="AEW51" s="2"/>
      <c r="AEX51" s="2"/>
      <c r="AEY51" s="2"/>
      <c r="AEZ51" s="2"/>
      <c r="AFA51" s="2"/>
      <c r="AFB51" s="2"/>
      <c r="AFC51" s="2"/>
      <c r="AFD51" s="2"/>
      <c r="AFE51" s="2"/>
      <c r="AFF51" s="2"/>
      <c r="AFG51" s="2"/>
      <c r="AFH51" s="2"/>
      <c r="AFI51" s="2"/>
      <c r="AFJ51" s="2"/>
      <c r="AFK51" s="2"/>
      <c r="AFL51" s="2"/>
      <c r="AFM51" s="2"/>
      <c r="AFN51" s="2"/>
      <c r="AFO51" s="2"/>
      <c r="AFP51" s="2"/>
      <c r="AFQ51" s="2"/>
      <c r="AFR51" s="2"/>
      <c r="AFS51" s="2"/>
      <c r="AFT51" s="2"/>
      <c r="AFU51" s="2"/>
      <c r="AFV51" s="2"/>
      <c r="AFW51" s="2"/>
      <c r="AFX51" s="2"/>
      <c r="AFY51" s="2"/>
      <c r="AFZ51" s="2"/>
      <c r="AGA51" s="2"/>
      <c r="AGB51" s="2"/>
      <c r="AGC51" s="2"/>
      <c r="AGD51" s="2"/>
      <c r="AGE51" s="2"/>
      <c r="AGF51" s="2"/>
      <c r="AGG51" s="2"/>
      <c r="AGH51" s="2"/>
      <c r="AGI51" s="2"/>
      <c r="AGJ51" s="2"/>
      <c r="AGK51" s="2"/>
      <c r="AGL51" s="2"/>
      <c r="AGM51" s="2"/>
      <c r="AGN51" s="2"/>
      <c r="AGO51" s="2"/>
      <c r="AGP51" s="2"/>
      <c r="AGQ51" s="2"/>
      <c r="AGR51" s="2"/>
      <c r="AGS51" s="2"/>
      <c r="AGT51" s="2"/>
      <c r="AGU51" s="2"/>
      <c r="AGV51" s="2"/>
      <c r="AGW51" s="2"/>
      <c r="AGX51" s="2"/>
      <c r="AGY51" s="2"/>
      <c r="AGZ51" s="2"/>
      <c r="AHA51" s="2"/>
      <c r="AHB51" s="2"/>
      <c r="AHC51" s="2"/>
      <c r="AHD51" s="2"/>
      <c r="AHE51" s="2"/>
      <c r="AHF51" s="2"/>
      <c r="AHG51" s="2"/>
      <c r="AHH51" s="2"/>
      <c r="AHI51" s="2"/>
      <c r="AHJ51" s="2"/>
      <c r="AHK51" s="2"/>
      <c r="AHL51" s="2"/>
      <c r="AHM51" s="2"/>
      <c r="AHN51" s="2"/>
      <c r="AHO51" s="2"/>
      <c r="AHP51" s="2"/>
      <c r="AHQ51" s="2"/>
      <c r="AHR51" s="2"/>
      <c r="AHS51" s="2"/>
      <c r="AHT51" s="2"/>
      <c r="AHU51" s="2"/>
      <c r="AHV51" s="2"/>
      <c r="AHW51" s="2"/>
      <c r="AHX51" s="2"/>
      <c r="AHY51" s="2"/>
      <c r="AHZ51" s="2"/>
      <c r="AIA51" s="2"/>
      <c r="AIB51" s="2"/>
      <c r="AIC51" s="2"/>
      <c r="AID51" s="2"/>
      <c r="AIE51" s="2"/>
      <c r="AIF51" s="2"/>
      <c r="AIG51" s="2"/>
      <c r="AIH51" s="2"/>
      <c r="AII51" s="2"/>
      <c r="AIJ51" s="2"/>
      <c r="AIK51" s="2"/>
      <c r="AIL51" s="2"/>
      <c r="AIM51" s="2"/>
      <c r="AIN51" s="2"/>
      <c r="AIO51" s="2"/>
      <c r="AIP51" s="2"/>
      <c r="AIQ51" s="2"/>
      <c r="AIR51" s="2"/>
      <c r="AIS51" s="2"/>
      <c r="AIT51" s="2"/>
      <c r="AIU51" s="2"/>
      <c r="AIV51" s="2"/>
      <c r="AIW51" s="2"/>
      <c r="AIX51" s="2"/>
      <c r="AIY51" s="2"/>
      <c r="AIZ51" s="2"/>
      <c r="AJA51" s="2"/>
      <c r="AJB51" s="2"/>
      <c r="AJC51" s="2"/>
      <c r="AJD51" s="2"/>
      <c r="AJE51" s="2"/>
      <c r="AJF51" s="2"/>
      <c r="AJG51" s="2"/>
      <c r="AJH51" s="2"/>
      <c r="AJI51" s="2"/>
      <c r="AJJ51" s="2"/>
      <c r="AJK51" s="2"/>
      <c r="AJL51" s="2"/>
      <c r="AJM51" s="2"/>
      <c r="AJN51" s="2"/>
      <c r="AJO51" s="2"/>
      <c r="AJP51" s="2"/>
      <c r="AJQ51" s="2"/>
      <c r="AJR51" s="2"/>
      <c r="AJS51" s="2"/>
      <c r="AJT51" s="2"/>
      <c r="AJU51" s="2"/>
      <c r="AJV51" s="2"/>
      <c r="AJW51" s="2"/>
      <c r="AJX51" s="2"/>
      <c r="AJY51" s="2"/>
      <c r="AJZ51" s="2"/>
    </row>
    <row r="52" spans="1:962">
      <c r="A52" s="16">
        <v>51</v>
      </c>
      <c r="B52" s="16">
        <v>1</v>
      </c>
      <c r="C52" s="16">
        <v>7.85</v>
      </c>
      <c r="D52" s="9">
        <v>4.33</v>
      </c>
      <c r="E52" s="9">
        <v>2.76</v>
      </c>
      <c r="F52" s="9">
        <v>0.12</v>
      </c>
      <c r="G52" s="16">
        <v>149</v>
      </c>
      <c r="H52" s="17">
        <v>2</v>
      </c>
      <c r="I52" s="9">
        <f t="shared" si="0"/>
        <v>1.568840579710145</v>
      </c>
      <c r="J52" s="9">
        <f t="shared" si="1"/>
        <v>4.3478260869565216E-2</v>
      </c>
      <c r="K52" s="9">
        <f t="shared" si="2"/>
        <v>53.985507246376812</v>
      </c>
      <c r="L52" s="9">
        <f t="shared" si="3"/>
        <v>233.75724637681159</v>
      </c>
      <c r="M52" s="16">
        <v>10</v>
      </c>
      <c r="N52" s="16" t="s">
        <v>31</v>
      </c>
      <c r="O52" s="16">
        <v>3.2</v>
      </c>
      <c r="P52" s="9">
        <v>7.85</v>
      </c>
      <c r="Q52" s="9">
        <v>4.33</v>
      </c>
      <c r="R52" s="9">
        <v>2.76</v>
      </c>
      <c r="S52" s="9">
        <v>0.12</v>
      </c>
      <c r="T52" s="9">
        <v>0.63</v>
      </c>
      <c r="U52" s="9">
        <v>0</v>
      </c>
      <c r="V52" s="9">
        <v>0.01</v>
      </c>
      <c r="W52" s="18">
        <v>6.26</v>
      </c>
      <c r="X52" s="19">
        <v>97</v>
      </c>
      <c r="Y52" s="16">
        <v>0.32</v>
      </c>
      <c r="Z52" s="16">
        <v>149</v>
      </c>
      <c r="AA52" s="16">
        <v>0.7</v>
      </c>
      <c r="AB52" s="16"/>
      <c r="AC52" s="16">
        <v>161.19999999999999</v>
      </c>
      <c r="AD52" s="16">
        <v>4.82</v>
      </c>
      <c r="AE52" s="16">
        <v>126.2</v>
      </c>
      <c r="AF52" s="16">
        <v>2.83</v>
      </c>
      <c r="AG52" s="16">
        <v>2.12</v>
      </c>
      <c r="AH52" s="16">
        <v>12.56</v>
      </c>
      <c r="AI52" s="16">
        <v>108.75</v>
      </c>
      <c r="AJ52" s="16">
        <v>46</v>
      </c>
      <c r="AK52" s="16">
        <v>155.6</v>
      </c>
      <c r="AL52" s="16">
        <v>78.819999999999993</v>
      </c>
      <c r="AM52" s="16">
        <v>21.17</v>
      </c>
      <c r="AN52" s="16">
        <v>1.0329999999999999</v>
      </c>
      <c r="AO52" s="16">
        <v>1.61</v>
      </c>
      <c r="AP52" s="16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  <c r="LB52" s="2"/>
      <c r="LC52" s="2"/>
      <c r="LD52" s="2"/>
      <c r="LE52" s="2"/>
      <c r="LF52" s="2"/>
      <c r="LG52" s="2"/>
      <c r="LH52" s="2"/>
      <c r="LI52" s="2"/>
      <c r="LJ52" s="2"/>
      <c r="LK52" s="2"/>
      <c r="LL52" s="2"/>
      <c r="LM52" s="2"/>
      <c r="LN52" s="2"/>
      <c r="LO52" s="2"/>
      <c r="LP52" s="2"/>
      <c r="LQ52" s="2"/>
      <c r="LR52" s="2"/>
      <c r="LS52" s="2"/>
      <c r="LT52" s="2"/>
      <c r="LU52" s="2"/>
      <c r="LV52" s="2"/>
      <c r="LW52" s="2"/>
      <c r="LX52" s="2"/>
      <c r="LY52" s="2"/>
      <c r="LZ52" s="2"/>
      <c r="MA52" s="2"/>
      <c r="MB52" s="2"/>
      <c r="MC52" s="2"/>
      <c r="MD52" s="2"/>
      <c r="ME52" s="2"/>
      <c r="MF52" s="2"/>
      <c r="MG52" s="2"/>
      <c r="MH52" s="2"/>
      <c r="MI52" s="2"/>
      <c r="MJ52" s="2"/>
      <c r="MK52" s="2"/>
      <c r="ML52" s="2"/>
      <c r="MM52" s="2"/>
      <c r="MN52" s="2"/>
      <c r="MO52" s="2"/>
      <c r="MP52" s="2"/>
      <c r="MQ52" s="2"/>
      <c r="MR52" s="2"/>
      <c r="MS52" s="2"/>
      <c r="MT52" s="2"/>
      <c r="MU52" s="2"/>
      <c r="MV52" s="2"/>
      <c r="MW52" s="2"/>
      <c r="MX52" s="2"/>
      <c r="MY52" s="2"/>
      <c r="MZ52" s="2"/>
      <c r="NA52" s="2"/>
      <c r="NB52" s="2"/>
      <c r="NC52" s="2"/>
      <c r="ND52" s="2"/>
      <c r="NE52" s="2"/>
      <c r="NF52" s="2"/>
      <c r="NG52" s="2"/>
      <c r="NH52" s="2"/>
      <c r="NI52" s="2"/>
      <c r="NJ52" s="2"/>
      <c r="NK52" s="2"/>
      <c r="NL52" s="2"/>
      <c r="NM52" s="2"/>
      <c r="NN52" s="2"/>
      <c r="NO52" s="2"/>
      <c r="NP52" s="2"/>
      <c r="NQ52" s="2"/>
      <c r="NR52" s="2"/>
      <c r="NS52" s="2"/>
      <c r="NT52" s="2"/>
      <c r="NU52" s="2"/>
      <c r="NV52" s="2"/>
      <c r="NW52" s="2"/>
      <c r="NX52" s="2"/>
      <c r="NY52" s="2"/>
      <c r="NZ52" s="2"/>
      <c r="OA52" s="2"/>
      <c r="OB52" s="2"/>
      <c r="OC52" s="2"/>
      <c r="OD52" s="2"/>
      <c r="OE52" s="2"/>
      <c r="OF52" s="2"/>
      <c r="OG52" s="2"/>
      <c r="OH52" s="2"/>
      <c r="OI52" s="2"/>
      <c r="OJ52" s="2"/>
      <c r="OK52" s="2"/>
      <c r="OL52" s="2"/>
      <c r="OM52" s="2"/>
      <c r="ON52" s="2"/>
      <c r="OO52" s="2"/>
      <c r="OP52" s="2"/>
      <c r="OQ52" s="2"/>
      <c r="OR52" s="2"/>
      <c r="OS52" s="2"/>
      <c r="OT52" s="2"/>
      <c r="OU52" s="2"/>
      <c r="OV52" s="2"/>
      <c r="OW52" s="2"/>
      <c r="OX52" s="2"/>
      <c r="OY52" s="2"/>
      <c r="OZ52" s="2"/>
      <c r="PA52" s="2"/>
      <c r="PB52" s="2"/>
      <c r="PC52" s="2"/>
      <c r="PD52" s="2"/>
      <c r="PE52" s="2"/>
      <c r="PF52" s="2"/>
      <c r="PG52" s="2"/>
      <c r="PH52" s="2"/>
      <c r="PI52" s="2"/>
      <c r="PJ52" s="2"/>
      <c r="PK52" s="2"/>
      <c r="PL52" s="2"/>
      <c r="PM52" s="2"/>
      <c r="PN52" s="2"/>
      <c r="PO52" s="2"/>
      <c r="PP52" s="2"/>
      <c r="PQ52" s="2"/>
      <c r="PR52" s="2"/>
      <c r="PS52" s="2"/>
      <c r="PT52" s="2"/>
      <c r="PU52" s="2"/>
      <c r="PV52" s="2"/>
      <c r="PW52" s="2"/>
      <c r="PX52" s="2"/>
      <c r="PY52" s="2"/>
      <c r="PZ52" s="2"/>
      <c r="QA52" s="2"/>
      <c r="QB52" s="2"/>
      <c r="QC52" s="2"/>
      <c r="QD52" s="2"/>
      <c r="QE52" s="2"/>
      <c r="QF52" s="2"/>
      <c r="QG52" s="2"/>
      <c r="QH52" s="2"/>
      <c r="QI52" s="2"/>
      <c r="QJ52" s="2"/>
      <c r="QK52" s="2"/>
      <c r="QL52" s="2"/>
      <c r="QM52" s="2"/>
      <c r="QN52" s="2"/>
      <c r="QO52" s="2"/>
      <c r="QP52" s="2"/>
      <c r="QQ52" s="2"/>
      <c r="QR52" s="2"/>
      <c r="QS52" s="2"/>
      <c r="QT52" s="2"/>
      <c r="QU52" s="2"/>
      <c r="QV52" s="2"/>
      <c r="QW52" s="2"/>
      <c r="QX52" s="2"/>
      <c r="QY52" s="2"/>
      <c r="QZ52" s="2"/>
      <c r="RA52" s="2"/>
      <c r="RB52" s="2"/>
      <c r="RC52" s="2"/>
      <c r="RD52" s="2"/>
      <c r="RE52" s="2"/>
      <c r="RF52" s="2"/>
      <c r="RG52" s="2"/>
      <c r="RH52" s="2"/>
      <c r="RI52" s="2"/>
      <c r="RJ52" s="2"/>
      <c r="RK52" s="2"/>
      <c r="RL52" s="2"/>
      <c r="RM52" s="2"/>
      <c r="RN52" s="2"/>
      <c r="RO52" s="2"/>
      <c r="RP52" s="2"/>
      <c r="RQ52" s="2"/>
      <c r="RR52" s="2"/>
      <c r="RS52" s="2"/>
      <c r="RT52" s="2"/>
      <c r="RU52" s="2"/>
      <c r="RV52" s="2"/>
      <c r="RW52" s="2"/>
      <c r="RX52" s="2"/>
      <c r="RY52" s="2"/>
      <c r="RZ52" s="2"/>
      <c r="SA52" s="2"/>
      <c r="SB52" s="2"/>
      <c r="SC52" s="2"/>
      <c r="SD52" s="2"/>
      <c r="SE52" s="2"/>
      <c r="SF52" s="2"/>
      <c r="SG52" s="2"/>
      <c r="SH52" s="2"/>
      <c r="SI52" s="2"/>
      <c r="SJ52" s="2"/>
      <c r="SK52" s="2"/>
      <c r="SL52" s="2"/>
      <c r="SM52" s="2"/>
      <c r="SN52" s="2"/>
      <c r="SO52" s="2"/>
      <c r="SP52" s="2"/>
      <c r="SQ52" s="2"/>
      <c r="SR52" s="2"/>
      <c r="SS52" s="2"/>
      <c r="ST52" s="2"/>
      <c r="SU52" s="2"/>
      <c r="SV52" s="2"/>
      <c r="SW52" s="2"/>
      <c r="SX52" s="2"/>
      <c r="SY52" s="2"/>
      <c r="SZ52" s="2"/>
      <c r="TA52" s="2"/>
      <c r="TB52" s="2"/>
      <c r="TC52" s="2"/>
      <c r="TD52" s="2"/>
      <c r="TE52" s="2"/>
      <c r="TF52" s="2"/>
      <c r="TG52" s="2"/>
      <c r="TH52" s="2"/>
      <c r="TI52" s="2"/>
      <c r="TJ52" s="2"/>
      <c r="TK52" s="2"/>
      <c r="TL52" s="2"/>
      <c r="TM52" s="2"/>
      <c r="TN52" s="2"/>
      <c r="TO52" s="2"/>
      <c r="TP52" s="2"/>
      <c r="TQ52" s="2"/>
      <c r="TR52" s="2"/>
      <c r="TS52" s="2"/>
      <c r="TT52" s="2"/>
      <c r="TU52" s="2"/>
      <c r="TV52" s="2"/>
      <c r="TW52" s="2"/>
      <c r="TX52" s="2"/>
      <c r="TY52" s="2"/>
      <c r="TZ52" s="2"/>
      <c r="UA52" s="2"/>
      <c r="UB52" s="2"/>
      <c r="UC52" s="2"/>
      <c r="UD52" s="2"/>
      <c r="UE52" s="2"/>
      <c r="UF52" s="2"/>
      <c r="UG52" s="2"/>
      <c r="UH52" s="2"/>
      <c r="UI52" s="2"/>
      <c r="UJ52" s="2"/>
      <c r="UK52" s="2"/>
      <c r="UL52" s="2"/>
      <c r="UM52" s="2"/>
      <c r="UN52" s="2"/>
      <c r="UO52" s="2"/>
      <c r="UP52" s="2"/>
      <c r="UQ52" s="2"/>
      <c r="UR52" s="2"/>
      <c r="US52" s="2"/>
      <c r="UT52" s="2"/>
      <c r="UU52" s="2"/>
      <c r="UV52" s="2"/>
      <c r="UW52" s="2"/>
      <c r="UX52" s="2"/>
      <c r="UY52" s="2"/>
      <c r="UZ52" s="2"/>
      <c r="VA52" s="2"/>
      <c r="VB52" s="2"/>
      <c r="VC52" s="2"/>
      <c r="VD52" s="2"/>
      <c r="VE52" s="2"/>
      <c r="VF52" s="2"/>
      <c r="VG52" s="2"/>
      <c r="VH52" s="2"/>
      <c r="VI52" s="2"/>
      <c r="VJ52" s="2"/>
      <c r="VK52" s="2"/>
      <c r="VL52" s="2"/>
      <c r="VM52" s="2"/>
      <c r="VN52" s="2"/>
      <c r="VO52" s="2"/>
      <c r="VP52" s="2"/>
      <c r="VQ52" s="2"/>
      <c r="VR52" s="2"/>
      <c r="VS52" s="2"/>
      <c r="VT52" s="2"/>
      <c r="VU52" s="2"/>
      <c r="VV52" s="2"/>
      <c r="VW52" s="2"/>
      <c r="VX52" s="2"/>
      <c r="VY52" s="2"/>
      <c r="VZ52" s="2"/>
      <c r="WA52" s="2"/>
      <c r="WB52" s="2"/>
      <c r="WC52" s="2"/>
      <c r="WD52" s="2"/>
      <c r="WE52" s="2"/>
      <c r="WF52" s="2"/>
      <c r="WG52" s="2"/>
      <c r="WH52" s="2"/>
      <c r="WI52" s="2"/>
      <c r="WJ52" s="2"/>
      <c r="WK52" s="2"/>
      <c r="WL52" s="2"/>
      <c r="WM52" s="2"/>
      <c r="WN52" s="2"/>
      <c r="WO52" s="2"/>
      <c r="WP52" s="2"/>
      <c r="WQ52" s="2"/>
      <c r="WR52" s="2"/>
      <c r="WS52" s="2"/>
      <c r="WT52" s="2"/>
      <c r="WU52" s="2"/>
      <c r="WV52" s="2"/>
      <c r="WW52" s="2"/>
      <c r="WX52" s="2"/>
      <c r="WY52" s="2"/>
      <c r="WZ52" s="2"/>
      <c r="XA52" s="2"/>
      <c r="XB52" s="2"/>
      <c r="XC52" s="2"/>
      <c r="XD52" s="2"/>
      <c r="XE52" s="2"/>
      <c r="XF52" s="2"/>
      <c r="XG52" s="2"/>
      <c r="XH52" s="2"/>
      <c r="XI52" s="2"/>
      <c r="XJ52" s="2"/>
      <c r="XK52" s="2"/>
      <c r="XL52" s="2"/>
      <c r="XM52" s="2"/>
      <c r="XN52" s="2"/>
      <c r="XO52" s="2"/>
      <c r="XP52" s="2"/>
      <c r="XQ52" s="2"/>
      <c r="XR52" s="2"/>
      <c r="XS52" s="2"/>
      <c r="XT52" s="2"/>
      <c r="XU52" s="2"/>
      <c r="XV52" s="2"/>
      <c r="XW52" s="2"/>
      <c r="XX52" s="2"/>
      <c r="XY52" s="2"/>
      <c r="XZ52" s="2"/>
      <c r="YA52" s="2"/>
      <c r="YB52" s="2"/>
      <c r="YC52" s="2"/>
      <c r="YD52" s="2"/>
      <c r="YE52" s="2"/>
      <c r="YF52" s="2"/>
      <c r="YG52" s="2"/>
      <c r="YH52" s="2"/>
      <c r="YI52" s="2"/>
      <c r="YJ52" s="2"/>
      <c r="YK52" s="2"/>
      <c r="YL52" s="2"/>
      <c r="YM52" s="2"/>
      <c r="YN52" s="2"/>
      <c r="YO52" s="2"/>
      <c r="YP52" s="2"/>
      <c r="YQ52" s="2"/>
      <c r="YR52" s="2"/>
      <c r="YS52" s="2"/>
      <c r="YT52" s="2"/>
      <c r="YU52" s="2"/>
      <c r="YV52" s="2"/>
      <c r="YW52" s="2"/>
      <c r="YX52" s="2"/>
      <c r="YY52" s="2"/>
      <c r="YZ52" s="2"/>
      <c r="ZA52" s="2"/>
      <c r="ZB52" s="2"/>
      <c r="ZC52" s="2"/>
      <c r="ZD52" s="2"/>
      <c r="ZE52" s="2"/>
      <c r="ZF52" s="2"/>
      <c r="ZG52" s="2"/>
      <c r="ZH52" s="2"/>
      <c r="ZI52" s="2"/>
      <c r="ZJ52" s="2"/>
      <c r="ZK52" s="2"/>
      <c r="ZL52" s="2"/>
      <c r="ZM52" s="2"/>
      <c r="ZN52" s="2"/>
      <c r="ZO52" s="2"/>
      <c r="ZP52" s="2"/>
      <c r="ZQ52" s="2"/>
      <c r="ZR52" s="2"/>
      <c r="ZS52" s="2"/>
      <c r="ZT52" s="2"/>
      <c r="ZU52" s="2"/>
      <c r="ZV52" s="2"/>
      <c r="ZW52" s="2"/>
      <c r="ZX52" s="2"/>
      <c r="ZY52" s="2"/>
      <c r="ZZ52" s="2"/>
      <c r="AAA52" s="2"/>
      <c r="AAB52" s="2"/>
      <c r="AAC52" s="2"/>
      <c r="AAD52" s="2"/>
      <c r="AAE52" s="2"/>
      <c r="AAF52" s="2"/>
      <c r="AAG52" s="2"/>
      <c r="AAH52" s="2"/>
      <c r="AAI52" s="2"/>
      <c r="AAJ52" s="2"/>
      <c r="AAK52" s="2"/>
      <c r="AAL52" s="2"/>
      <c r="AAM52" s="2"/>
      <c r="AAN52" s="2"/>
      <c r="AAO52" s="2"/>
      <c r="AAP52" s="2"/>
      <c r="AAQ52" s="2"/>
      <c r="AAR52" s="2"/>
      <c r="AAS52" s="2"/>
      <c r="AAT52" s="2"/>
      <c r="AAU52" s="2"/>
      <c r="AAV52" s="2"/>
      <c r="AAW52" s="2"/>
      <c r="AAX52" s="2"/>
      <c r="AAY52" s="2"/>
      <c r="AAZ52" s="2"/>
      <c r="ABA52" s="2"/>
      <c r="ABB52" s="2"/>
      <c r="ABC52" s="2"/>
      <c r="ABD52" s="2"/>
      <c r="ABE52" s="2"/>
      <c r="ABF52" s="2"/>
      <c r="ABG52" s="2"/>
      <c r="ABH52" s="2"/>
      <c r="ABI52" s="2"/>
      <c r="ABJ52" s="2"/>
      <c r="ABK52" s="2"/>
      <c r="ABL52" s="2"/>
      <c r="ABM52" s="2"/>
      <c r="ABN52" s="2"/>
      <c r="ABO52" s="2"/>
      <c r="ABP52" s="2"/>
      <c r="ABQ52" s="2"/>
      <c r="ABR52" s="2"/>
      <c r="ABS52" s="2"/>
      <c r="ABT52" s="2"/>
      <c r="ABU52" s="2"/>
      <c r="ABV52" s="2"/>
      <c r="ABW52" s="2"/>
      <c r="ABX52" s="2"/>
      <c r="ABY52" s="2"/>
      <c r="ABZ52" s="2"/>
      <c r="ACA52" s="2"/>
      <c r="ACB52" s="2"/>
      <c r="ACC52" s="2"/>
      <c r="ACD52" s="2"/>
      <c r="ACE52" s="2"/>
      <c r="ACF52" s="2"/>
      <c r="ACG52" s="2"/>
      <c r="ACH52" s="2"/>
      <c r="ACI52" s="2"/>
      <c r="ACJ52" s="2"/>
      <c r="ACK52" s="2"/>
      <c r="ACL52" s="2"/>
      <c r="ACM52" s="2"/>
      <c r="ACN52" s="2"/>
      <c r="ACO52" s="2"/>
      <c r="ACP52" s="2"/>
      <c r="ACQ52" s="2"/>
      <c r="ACR52" s="2"/>
      <c r="ACS52" s="2"/>
      <c r="ACT52" s="2"/>
      <c r="ACU52" s="2"/>
      <c r="ACV52" s="2"/>
      <c r="ACW52" s="2"/>
      <c r="ACX52" s="2"/>
      <c r="ACY52" s="2"/>
      <c r="ACZ52" s="2"/>
      <c r="ADA52" s="2"/>
      <c r="ADB52" s="2"/>
      <c r="ADC52" s="2"/>
      <c r="ADD52" s="2"/>
      <c r="ADE52" s="2"/>
      <c r="ADF52" s="2"/>
      <c r="ADG52" s="2"/>
      <c r="ADH52" s="2"/>
      <c r="ADI52" s="2"/>
      <c r="ADJ52" s="2"/>
      <c r="ADK52" s="2"/>
      <c r="ADL52" s="2"/>
      <c r="ADM52" s="2"/>
      <c r="ADN52" s="2"/>
      <c r="ADO52" s="2"/>
      <c r="ADP52" s="2"/>
      <c r="ADQ52" s="2"/>
      <c r="ADR52" s="2"/>
      <c r="ADS52" s="2"/>
      <c r="ADT52" s="2"/>
      <c r="ADU52" s="2"/>
      <c r="ADV52" s="2"/>
      <c r="ADW52" s="2"/>
      <c r="ADX52" s="2"/>
      <c r="ADY52" s="2"/>
      <c r="ADZ52" s="2"/>
      <c r="AEA52" s="2"/>
      <c r="AEB52" s="2"/>
      <c r="AEC52" s="2"/>
      <c r="AED52" s="2"/>
      <c r="AEE52" s="2"/>
      <c r="AEF52" s="2"/>
      <c r="AEG52" s="2"/>
      <c r="AEH52" s="2"/>
      <c r="AEI52" s="2"/>
      <c r="AEJ52" s="2"/>
      <c r="AEK52" s="2"/>
      <c r="AEL52" s="2"/>
      <c r="AEM52" s="2"/>
      <c r="AEN52" s="2"/>
      <c r="AEO52" s="2"/>
      <c r="AEP52" s="2"/>
      <c r="AEQ52" s="2"/>
      <c r="AER52" s="2"/>
      <c r="AES52" s="2"/>
      <c r="AET52" s="2"/>
      <c r="AEU52" s="2"/>
      <c r="AEV52" s="2"/>
      <c r="AEW52" s="2"/>
      <c r="AEX52" s="2"/>
      <c r="AEY52" s="2"/>
      <c r="AEZ52" s="2"/>
      <c r="AFA52" s="2"/>
      <c r="AFB52" s="2"/>
      <c r="AFC52" s="2"/>
      <c r="AFD52" s="2"/>
      <c r="AFE52" s="2"/>
      <c r="AFF52" s="2"/>
      <c r="AFG52" s="2"/>
      <c r="AFH52" s="2"/>
      <c r="AFI52" s="2"/>
      <c r="AFJ52" s="2"/>
      <c r="AFK52" s="2"/>
      <c r="AFL52" s="2"/>
      <c r="AFM52" s="2"/>
      <c r="AFN52" s="2"/>
      <c r="AFO52" s="2"/>
      <c r="AFP52" s="2"/>
      <c r="AFQ52" s="2"/>
      <c r="AFR52" s="2"/>
      <c r="AFS52" s="2"/>
      <c r="AFT52" s="2"/>
      <c r="AFU52" s="2"/>
      <c r="AFV52" s="2"/>
      <c r="AFW52" s="2"/>
      <c r="AFX52" s="2"/>
      <c r="AFY52" s="2"/>
      <c r="AFZ52" s="2"/>
      <c r="AGA52" s="2"/>
      <c r="AGB52" s="2"/>
      <c r="AGC52" s="2"/>
      <c r="AGD52" s="2"/>
      <c r="AGE52" s="2"/>
      <c r="AGF52" s="2"/>
      <c r="AGG52" s="2"/>
      <c r="AGH52" s="2"/>
      <c r="AGI52" s="2"/>
      <c r="AGJ52" s="2"/>
      <c r="AGK52" s="2"/>
      <c r="AGL52" s="2"/>
      <c r="AGM52" s="2"/>
      <c r="AGN52" s="2"/>
      <c r="AGO52" s="2"/>
      <c r="AGP52" s="2"/>
      <c r="AGQ52" s="2"/>
      <c r="AGR52" s="2"/>
      <c r="AGS52" s="2"/>
      <c r="AGT52" s="2"/>
      <c r="AGU52" s="2"/>
      <c r="AGV52" s="2"/>
      <c r="AGW52" s="2"/>
      <c r="AGX52" s="2"/>
      <c r="AGY52" s="2"/>
      <c r="AGZ52" s="2"/>
      <c r="AHA52" s="2"/>
      <c r="AHB52" s="2"/>
      <c r="AHC52" s="2"/>
      <c r="AHD52" s="2"/>
      <c r="AHE52" s="2"/>
      <c r="AHF52" s="2"/>
      <c r="AHG52" s="2"/>
      <c r="AHH52" s="2"/>
      <c r="AHI52" s="2"/>
      <c r="AHJ52" s="2"/>
      <c r="AHK52" s="2"/>
      <c r="AHL52" s="2"/>
      <c r="AHM52" s="2"/>
      <c r="AHN52" s="2"/>
      <c r="AHO52" s="2"/>
      <c r="AHP52" s="2"/>
      <c r="AHQ52" s="2"/>
      <c r="AHR52" s="2"/>
      <c r="AHS52" s="2"/>
      <c r="AHT52" s="2"/>
      <c r="AHU52" s="2"/>
      <c r="AHV52" s="2"/>
      <c r="AHW52" s="2"/>
      <c r="AHX52" s="2"/>
      <c r="AHY52" s="2"/>
      <c r="AHZ52" s="2"/>
      <c r="AIA52" s="2"/>
      <c r="AIB52" s="2"/>
      <c r="AIC52" s="2"/>
      <c r="AID52" s="2"/>
      <c r="AIE52" s="2"/>
      <c r="AIF52" s="2"/>
      <c r="AIG52" s="2"/>
      <c r="AIH52" s="2"/>
      <c r="AII52" s="2"/>
      <c r="AIJ52" s="2"/>
      <c r="AIK52" s="2"/>
      <c r="AIL52" s="2"/>
      <c r="AIM52" s="2"/>
      <c r="AIN52" s="2"/>
      <c r="AIO52" s="2"/>
      <c r="AIP52" s="2"/>
      <c r="AIQ52" s="2"/>
      <c r="AIR52" s="2"/>
      <c r="AIS52" s="2"/>
      <c r="AIT52" s="2"/>
      <c r="AIU52" s="2"/>
      <c r="AIV52" s="2"/>
      <c r="AIW52" s="2"/>
      <c r="AIX52" s="2"/>
      <c r="AIY52" s="2"/>
      <c r="AIZ52" s="2"/>
      <c r="AJA52" s="2"/>
      <c r="AJB52" s="2"/>
      <c r="AJC52" s="2"/>
      <c r="AJD52" s="2"/>
      <c r="AJE52" s="2"/>
      <c r="AJF52" s="2"/>
      <c r="AJG52" s="2"/>
      <c r="AJH52" s="2"/>
      <c r="AJI52" s="2"/>
      <c r="AJJ52" s="2"/>
      <c r="AJK52" s="2"/>
      <c r="AJL52" s="2"/>
      <c r="AJM52" s="2"/>
      <c r="AJN52" s="2"/>
      <c r="AJO52" s="2"/>
      <c r="AJP52" s="2"/>
      <c r="AJQ52" s="2"/>
      <c r="AJR52" s="2"/>
      <c r="AJS52" s="2"/>
      <c r="AJT52" s="2"/>
      <c r="AJU52" s="2"/>
      <c r="AJV52" s="2"/>
      <c r="AJW52" s="2"/>
      <c r="AJX52" s="2"/>
      <c r="AJY52" s="2"/>
      <c r="AJZ52" s="2"/>
    </row>
    <row r="53" spans="1:962">
      <c r="A53" s="16">
        <v>52</v>
      </c>
      <c r="B53" s="16">
        <v>1</v>
      </c>
      <c r="C53" s="16">
        <v>10.37</v>
      </c>
      <c r="D53" s="9">
        <v>6.87</v>
      </c>
      <c r="E53" s="9">
        <v>2.2599999999999998</v>
      </c>
      <c r="F53" s="9">
        <v>0.32</v>
      </c>
      <c r="G53" s="16">
        <v>349</v>
      </c>
      <c r="H53" s="17">
        <v>2</v>
      </c>
      <c r="I53" s="9">
        <f t="shared" si="0"/>
        <v>3.0398230088495577</v>
      </c>
      <c r="J53" s="9">
        <f t="shared" si="1"/>
        <v>0.14159292035398233</v>
      </c>
      <c r="K53" s="9">
        <f t="shared" si="2"/>
        <v>154.42477876106196</v>
      </c>
      <c r="L53" s="9">
        <f t="shared" si="3"/>
        <v>1060.8982300884957</v>
      </c>
      <c r="M53" s="16">
        <v>10</v>
      </c>
      <c r="N53" s="16" t="s">
        <v>30</v>
      </c>
      <c r="O53" s="16">
        <v>5</v>
      </c>
      <c r="P53" s="9">
        <v>10.37</v>
      </c>
      <c r="Q53" s="9">
        <v>6.87</v>
      </c>
      <c r="R53" s="9">
        <v>2.2599999999999998</v>
      </c>
      <c r="S53" s="9">
        <v>0.32</v>
      </c>
      <c r="T53" s="9">
        <v>0.9</v>
      </c>
      <c r="U53" s="9">
        <v>0</v>
      </c>
      <c r="V53" s="9">
        <v>0.01</v>
      </c>
      <c r="W53" s="18">
        <v>7.26</v>
      </c>
      <c r="X53" s="19">
        <v>106</v>
      </c>
      <c r="Y53" s="16">
        <v>0.31</v>
      </c>
      <c r="Z53" s="16">
        <v>349</v>
      </c>
      <c r="AA53" s="16">
        <v>0.4</v>
      </c>
      <c r="AB53" s="16"/>
      <c r="AC53" s="16">
        <v>156.4</v>
      </c>
      <c r="AD53" s="16">
        <v>4.57</v>
      </c>
      <c r="AE53" s="16">
        <v>125.7</v>
      </c>
      <c r="AF53" s="16">
        <v>2.64</v>
      </c>
      <c r="AG53" s="16">
        <v>1.65</v>
      </c>
      <c r="AH53" s="16">
        <v>7.18</v>
      </c>
      <c r="AI53" s="16">
        <v>111.2</v>
      </c>
      <c r="AJ53" s="16">
        <v>26.8</v>
      </c>
      <c r="AK53" s="16">
        <v>54</v>
      </c>
      <c r="AL53" s="16">
        <v>66.2</v>
      </c>
      <c r="AM53" s="16">
        <v>31.56</v>
      </c>
      <c r="AN53" s="16">
        <v>1.08</v>
      </c>
      <c r="AO53" s="16">
        <v>0.35</v>
      </c>
      <c r="AP53" s="16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  <c r="LB53" s="2"/>
      <c r="LC53" s="2"/>
      <c r="LD53" s="2"/>
      <c r="LE53" s="2"/>
      <c r="LF53" s="2"/>
      <c r="LG53" s="2"/>
      <c r="LH53" s="2"/>
      <c r="LI53" s="2"/>
      <c r="LJ53" s="2"/>
      <c r="LK53" s="2"/>
      <c r="LL53" s="2"/>
      <c r="LM53" s="2"/>
      <c r="LN53" s="2"/>
      <c r="LO53" s="2"/>
      <c r="LP53" s="2"/>
      <c r="LQ53" s="2"/>
      <c r="LR53" s="2"/>
      <c r="LS53" s="2"/>
      <c r="LT53" s="2"/>
      <c r="LU53" s="2"/>
      <c r="LV53" s="2"/>
      <c r="LW53" s="2"/>
      <c r="LX53" s="2"/>
      <c r="LY53" s="2"/>
      <c r="LZ53" s="2"/>
      <c r="MA53" s="2"/>
      <c r="MB53" s="2"/>
      <c r="MC53" s="2"/>
      <c r="MD53" s="2"/>
      <c r="ME53" s="2"/>
      <c r="MF53" s="2"/>
      <c r="MG53" s="2"/>
      <c r="MH53" s="2"/>
      <c r="MI53" s="2"/>
      <c r="MJ53" s="2"/>
      <c r="MK53" s="2"/>
      <c r="ML53" s="2"/>
      <c r="MM53" s="2"/>
      <c r="MN53" s="2"/>
      <c r="MO53" s="2"/>
      <c r="MP53" s="2"/>
      <c r="MQ53" s="2"/>
      <c r="MR53" s="2"/>
      <c r="MS53" s="2"/>
      <c r="MT53" s="2"/>
      <c r="MU53" s="2"/>
      <c r="MV53" s="2"/>
      <c r="MW53" s="2"/>
      <c r="MX53" s="2"/>
      <c r="MY53" s="2"/>
      <c r="MZ53" s="2"/>
      <c r="NA53" s="2"/>
      <c r="NB53" s="2"/>
      <c r="NC53" s="2"/>
      <c r="ND53" s="2"/>
      <c r="NE53" s="2"/>
      <c r="NF53" s="2"/>
      <c r="NG53" s="2"/>
      <c r="NH53" s="2"/>
      <c r="NI53" s="2"/>
      <c r="NJ53" s="2"/>
      <c r="NK53" s="2"/>
      <c r="NL53" s="2"/>
      <c r="NM53" s="2"/>
      <c r="NN53" s="2"/>
      <c r="NO53" s="2"/>
      <c r="NP53" s="2"/>
      <c r="NQ53" s="2"/>
      <c r="NR53" s="2"/>
      <c r="NS53" s="2"/>
      <c r="NT53" s="2"/>
      <c r="NU53" s="2"/>
      <c r="NV53" s="2"/>
      <c r="NW53" s="2"/>
      <c r="NX53" s="2"/>
      <c r="NY53" s="2"/>
      <c r="NZ53" s="2"/>
      <c r="OA53" s="2"/>
      <c r="OB53" s="2"/>
      <c r="OC53" s="2"/>
      <c r="OD53" s="2"/>
      <c r="OE53" s="2"/>
      <c r="OF53" s="2"/>
      <c r="OG53" s="2"/>
      <c r="OH53" s="2"/>
      <c r="OI53" s="2"/>
      <c r="OJ53" s="2"/>
      <c r="OK53" s="2"/>
      <c r="OL53" s="2"/>
      <c r="OM53" s="2"/>
      <c r="ON53" s="2"/>
      <c r="OO53" s="2"/>
      <c r="OP53" s="2"/>
      <c r="OQ53" s="2"/>
      <c r="OR53" s="2"/>
      <c r="OS53" s="2"/>
      <c r="OT53" s="2"/>
      <c r="OU53" s="2"/>
      <c r="OV53" s="2"/>
      <c r="OW53" s="2"/>
      <c r="OX53" s="2"/>
      <c r="OY53" s="2"/>
      <c r="OZ53" s="2"/>
      <c r="PA53" s="2"/>
      <c r="PB53" s="2"/>
      <c r="PC53" s="2"/>
      <c r="PD53" s="2"/>
      <c r="PE53" s="2"/>
      <c r="PF53" s="2"/>
      <c r="PG53" s="2"/>
      <c r="PH53" s="2"/>
      <c r="PI53" s="2"/>
      <c r="PJ53" s="2"/>
      <c r="PK53" s="2"/>
      <c r="PL53" s="2"/>
      <c r="PM53" s="2"/>
      <c r="PN53" s="2"/>
      <c r="PO53" s="2"/>
      <c r="PP53" s="2"/>
      <c r="PQ53" s="2"/>
      <c r="PR53" s="2"/>
      <c r="PS53" s="2"/>
      <c r="PT53" s="2"/>
      <c r="PU53" s="2"/>
      <c r="PV53" s="2"/>
      <c r="PW53" s="2"/>
      <c r="PX53" s="2"/>
      <c r="PY53" s="2"/>
      <c r="PZ53" s="2"/>
      <c r="QA53" s="2"/>
      <c r="QB53" s="2"/>
      <c r="QC53" s="2"/>
      <c r="QD53" s="2"/>
      <c r="QE53" s="2"/>
      <c r="QF53" s="2"/>
      <c r="QG53" s="2"/>
      <c r="QH53" s="2"/>
      <c r="QI53" s="2"/>
      <c r="QJ53" s="2"/>
      <c r="QK53" s="2"/>
      <c r="QL53" s="2"/>
      <c r="QM53" s="2"/>
      <c r="QN53" s="2"/>
      <c r="QO53" s="2"/>
      <c r="QP53" s="2"/>
      <c r="QQ53" s="2"/>
      <c r="QR53" s="2"/>
      <c r="QS53" s="2"/>
      <c r="QT53" s="2"/>
      <c r="QU53" s="2"/>
      <c r="QV53" s="2"/>
      <c r="QW53" s="2"/>
      <c r="QX53" s="2"/>
      <c r="QY53" s="2"/>
      <c r="QZ53" s="2"/>
      <c r="RA53" s="2"/>
      <c r="RB53" s="2"/>
      <c r="RC53" s="2"/>
      <c r="RD53" s="2"/>
      <c r="RE53" s="2"/>
      <c r="RF53" s="2"/>
      <c r="RG53" s="2"/>
      <c r="RH53" s="2"/>
      <c r="RI53" s="2"/>
      <c r="RJ53" s="2"/>
      <c r="RK53" s="2"/>
      <c r="RL53" s="2"/>
      <c r="RM53" s="2"/>
      <c r="RN53" s="2"/>
      <c r="RO53" s="2"/>
      <c r="RP53" s="2"/>
      <c r="RQ53" s="2"/>
      <c r="RR53" s="2"/>
      <c r="RS53" s="2"/>
      <c r="RT53" s="2"/>
      <c r="RU53" s="2"/>
      <c r="RV53" s="2"/>
      <c r="RW53" s="2"/>
      <c r="RX53" s="2"/>
      <c r="RY53" s="2"/>
      <c r="RZ53" s="2"/>
      <c r="SA53" s="2"/>
      <c r="SB53" s="2"/>
      <c r="SC53" s="2"/>
      <c r="SD53" s="2"/>
      <c r="SE53" s="2"/>
      <c r="SF53" s="2"/>
      <c r="SG53" s="2"/>
      <c r="SH53" s="2"/>
      <c r="SI53" s="2"/>
      <c r="SJ53" s="2"/>
      <c r="SK53" s="2"/>
      <c r="SL53" s="2"/>
      <c r="SM53" s="2"/>
      <c r="SN53" s="2"/>
      <c r="SO53" s="2"/>
      <c r="SP53" s="2"/>
      <c r="SQ53" s="2"/>
      <c r="SR53" s="2"/>
      <c r="SS53" s="2"/>
      <c r="ST53" s="2"/>
      <c r="SU53" s="2"/>
      <c r="SV53" s="2"/>
      <c r="SW53" s="2"/>
      <c r="SX53" s="2"/>
      <c r="SY53" s="2"/>
      <c r="SZ53" s="2"/>
      <c r="TA53" s="2"/>
      <c r="TB53" s="2"/>
      <c r="TC53" s="2"/>
      <c r="TD53" s="2"/>
      <c r="TE53" s="2"/>
      <c r="TF53" s="2"/>
      <c r="TG53" s="2"/>
      <c r="TH53" s="2"/>
      <c r="TI53" s="2"/>
      <c r="TJ53" s="2"/>
      <c r="TK53" s="2"/>
      <c r="TL53" s="2"/>
      <c r="TM53" s="2"/>
      <c r="TN53" s="2"/>
      <c r="TO53" s="2"/>
      <c r="TP53" s="2"/>
      <c r="TQ53" s="2"/>
      <c r="TR53" s="2"/>
      <c r="TS53" s="2"/>
      <c r="TT53" s="2"/>
      <c r="TU53" s="2"/>
      <c r="TV53" s="2"/>
      <c r="TW53" s="2"/>
      <c r="TX53" s="2"/>
      <c r="TY53" s="2"/>
      <c r="TZ53" s="2"/>
      <c r="UA53" s="2"/>
      <c r="UB53" s="2"/>
      <c r="UC53" s="2"/>
      <c r="UD53" s="2"/>
      <c r="UE53" s="2"/>
      <c r="UF53" s="2"/>
      <c r="UG53" s="2"/>
      <c r="UH53" s="2"/>
      <c r="UI53" s="2"/>
      <c r="UJ53" s="2"/>
      <c r="UK53" s="2"/>
      <c r="UL53" s="2"/>
      <c r="UM53" s="2"/>
      <c r="UN53" s="2"/>
      <c r="UO53" s="2"/>
      <c r="UP53" s="2"/>
      <c r="UQ53" s="2"/>
      <c r="UR53" s="2"/>
      <c r="US53" s="2"/>
      <c r="UT53" s="2"/>
      <c r="UU53" s="2"/>
      <c r="UV53" s="2"/>
      <c r="UW53" s="2"/>
      <c r="UX53" s="2"/>
      <c r="UY53" s="2"/>
      <c r="UZ53" s="2"/>
      <c r="VA53" s="2"/>
      <c r="VB53" s="2"/>
      <c r="VC53" s="2"/>
      <c r="VD53" s="2"/>
      <c r="VE53" s="2"/>
      <c r="VF53" s="2"/>
      <c r="VG53" s="2"/>
      <c r="VH53" s="2"/>
      <c r="VI53" s="2"/>
      <c r="VJ53" s="2"/>
      <c r="VK53" s="2"/>
      <c r="VL53" s="2"/>
      <c r="VM53" s="2"/>
      <c r="VN53" s="2"/>
      <c r="VO53" s="2"/>
      <c r="VP53" s="2"/>
      <c r="VQ53" s="2"/>
      <c r="VR53" s="2"/>
      <c r="VS53" s="2"/>
      <c r="VT53" s="2"/>
      <c r="VU53" s="2"/>
      <c r="VV53" s="2"/>
      <c r="VW53" s="2"/>
      <c r="VX53" s="2"/>
      <c r="VY53" s="2"/>
      <c r="VZ53" s="2"/>
      <c r="WA53" s="2"/>
      <c r="WB53" s="2"/>
      <c r="WC53" s="2"/>
      <c r="WD53" s="2"/>
      <c r="WE53" s="2"/>
      <c r="WF53" s="2"/>
      <c r="WG53" s="2"/>
      <c r="WH53" s="2"/>
      <c r="WI53" s="2"/>
      <c r="WJ53" s="2"/>
      <c r="WK53" s="2"/>
      <c r="WL53" s="2"/>
      <c r="WM53" s="2"/>
      <c r="WN53" s="2"/>
      <c r="WO53" s="2"/>
      <c r="WP53" s="2"/>
      <c r="WQ53" s="2"/>
      <c r="WR53" s="2"/>
      <c r="WS53" s="2"/>
      <c r="WT53" s="2"/>
      <c r="WU53" s="2"/>
      <c r="WV53" s="2"/>
      <c r="WW53" s="2"/>
      <c r="WX53" s="2"/>
      <c r="WY53" s="2"/>
      <c r="WZ53" s="2"/>
      <c r="XA53" s="2"/>
      <c r="XB53" s="2"/>
      <c r="XC53" s="2"/>
      <c r="XD53" s="2"/>
      <c r="XE53" s="2"/>
      <c r="XF53" s="2"/>
      <c r="XG53" s="2"/>
      <c r="XH53" s="2"/>
      <c r="XI53" s="2"/>
      <c r="XJ53" s="2"/>
      <c r="XK53" s="2"/>
      <c r="XL53" s="2"/>
      <c r="XM53" s="2"/>
      <c r="XN53" s="2"/>
      <c r="XO53" s="2"/>
      <c r="XP53" s="2"/>
      <c r="XQ53" s="2"/>
      <c r="XR53" s="2"/>
      <c r="XS53" s="2"/>
      <c r="XT53" s="2"/>
      <c r="XU53" s="2"/>
      <c r="XV53" s="2"/>
      <c r="XW53" s="2"/>
      <c r="XX53" s="2"/>
      <c r="XY53" s="2"/>
      <c r="XZ53" s="2"/>
      <c r="YA53" s="2"/>
      <c r="YB53" s="2"/>
      <c r="YC53" s="2"/>
      <c r="YD53" s="2"/>
      <c r="YE53" s="2"/>
      <c r="YF53" s="2"/>
      <c r="YG53" s="2"/>
      <c r="YH53" s="2"/>
      <c r="YI53" s="2"/>
      <c r="YJ53" s="2"/>
      <c r="YK53" s="2"/>
      <c r="YL53" s="2"/>
      <c r="YM53" s="2"/>
      <c r="YN53" s="2"/>
      <c r="YO53" s="2"/>
      <c r="YP53" s="2"/>
      <c r="YQ53" s="2"/>
      <c r="YR53" s="2"/>
      <c r="YS53" s="2"/>
      <c r="YT53" s="2"/>
      <c r="YU53" s="2"/>
      <c r="YV53" s="2"/>
      <c r="YW53" s="2"/>
      <c r="YX53" s="2"/>
      <c r="YY53" s="2"/>
      <c r="YZ53" s="2"/>
      <c r="ZA53" s="2"/>
      <c r="ZB53" s="2"/>
      <c r="ZC53" s="2"/>
      <c r="ZD53" s="2"/>
      <c r="ZE53" s="2"/>
      <c r="ZF53" s="2"/>
      <c r="ZG53" s="2"/>
      <c r="ZH53" s="2"/>
      <c r="ZI53" s="2"/>
      <c r="ZJ53" s="2"/>
      <c r="ZK53" s="2"/>
      <c r="ZL53" s="2"/>
      <c r="ZM53" s="2"/>
      <c r="ZN53" s="2"/>
      <c r="ZO53" s="2"/>
      <c r="ZP53" s="2"/>
      <c r="ZQ53" s="2"/>
      <c r="ZR53" s="2"/>
      <c r="ZS53" s="2"/>
      <c r="ZT53" s="2"/>
      <c r="ZU53" s="2"/>
      <c r="ZV53" s="2"/>
      <c r="ZW53" s="2"/>
      <c r="ZX53" s="2"/>
      <c r="ZY53" s="2"/>
      <c r="ZZ53" s="2"/>
      <c r="AAA53" s="2"/>
      <c r="AAB53" s="2"/>
      <c r="AAC53" s="2"/>
      <c r="AAD53" s="2"/>
      <c r="AAE53" s="2"/>
      <c r="AAF53" s="2"/>
      <c r="AAG53" s="2"/>
      <c r="AAH53" s="2"/>
      <c r="AAI53" s="2"/>
      <c r="AAJ53" s="2"/>
      <c r="AAK53" s="2"/>
      <c r="AAL53" s="2"/>
      <c r="AAM53" s="2"/>
      <c r="AAN53" s="2"/>
      <c r="AAO53" s="2"/>
      <c r="AAP53" s="2"/>
      <c r="AAQ53" s="2"/>
      <c r="AAR53" s="2"/>
      <c r="AAS53" s="2"/>
      <c r="AAT53" s="2"/>
      <c r="AAU53" s="2"/>
      <c r="AAV53" s="2"/>
      <c r="AAW53" s="2"/>
      <c r="AAX53" s="2"/>
      <c r="AAY53" s="2"/>
      <c r="AAZ53" s="2"/>
      <c r="ABA53" s="2"/>
      <c r="ABB53" s="2"/>
      <c r="ABC53" s="2"/>
      <c r="ABD53" s="2"/>
      <c r="ABE53" s="2"/>
      <c r="ABF53" s="2"/>
      <c r="ABG53" s="2"/>
      <c r="ABH53" s="2"/>
      <c r="ABI53" s="2"/>
      <c r="ABJ53" s="2"/>
      <c r="ABK53" s="2"/>
      <c r="ABL53" s="2"/>
      <c r="ABM53" s="2"/>
      <c r="ABN53" s="2"/>
      <c r="ABO53" s="2"/>
      <c r="ABP53" s="2"/>
      <c r="ABQ53" s="2"/>
      <c r="ABR53" s="2"/>
      <c r="ABS53" s="2"/>
      <c r="ABT53" s="2"/>
      <c r="ABU53" s="2"/>
      <c r="ABV53" s="2"/>
      <c r="ABW53" s="2"/>
      <c r="ABX53" s="2"/>
      <c r="ABY53" s="2"/>
      <c r="ABZ53" s="2"/>
      <c r="ACA53" s="2"/>
      <c r="ACB53" s="2"/>
      <c r="ACC53" s="2"/>
      <c r="ACD53" s="2"/>
      <c r="ACE53" s="2"/>
      <c r="ACF53" s="2"/>
      <c r="ACG53" s="2"/>
      <c r="ACH53" s="2"/>
      <c r="ACI53" s="2"/>
      <c r="ACJ53" s="2"/>
      <c r="ACK53" s="2"/>
      <c r="ACL53" s="2"/>
      <c r="ACM53" s="2"/>
      <c r="ACN53" s="2"/>
      <c r="ACO53" s="2"/>
      <c r="ACP53" s="2"/>
      <c r="ACQ53" s="2"/>
      <c r="ACR53" s="2"/>
      <c r="ACS53" s="2"/>
      <c r="ACT53" s="2"/>
      <c r="ACU53" s="2"/>
      <c r="ACV53" s="2"/>
      <c r="ACW53" s="2"/>
      <c r="ACX53" s="2"/>
      <c r="ACY53" s="2"/>
      <c r="ACZ53" s="2"/>
      <c r="ADA53" s="2"/>
      <c r="ADB53" s="2"/>
      <c r="ADC53" s="2"/>
      <c r="ADD53" s="2"/>
      <c r="ADE53" s="2"/>
      <c r="ADF53" s="2"/>
      <c r="ADG53" s="2"/>
      <c r="ADH53" s="2"/>
      <c r="ADI53" s="2"/>
      <c r="ADJ53" s="2"/>
      <c r="ADK53" s="2"/>
      <c r="ADL53" s="2"/>
      <c r="ADM53" s="2"/>
      <c r="ADN53" s="2"/>
      <c r="ADO53" s="2"/>
      <c r="ADP53" s="2"/>
      <c r="ADQ53" s="2"/>
      <c r="ADR53" s="2"/>
      <c r="ADS53" s="2"/>
      <c r="ADT53" s="2"/>
      <c r="ADU53" s="2"/>
      <c r="ADV53" s="2"/>
      <c r="ADW53" s="2"/>
      <c r="ADX53" s="2"/>
      <c r="ADY53" s="2"/>
      <c r="ADZ53" s="2"/>
      <c r="AEA53" s="2"/>
      <c r="AEB53" s="2"/>
      <c r="AEC53" s="2"/>
      <c r="AED53" s="2"/>
      <c r="AEE53" s="2"/>
      <c r="AEF53" s="2"/>
      <c r="AEG53" s="2"/>
      <c r="AEH53" s="2"/>
      <c r="AEI53" s="2"/>
      <c r="AEJ53" s="2"/>
      <c r="AEK53" s="2"/>
      <c r="AEL53" s="2"/>
      <c r="AEM53" s="2"/>
      <c r="AEN53" s="2"/>
      <c r="AEO53" s="2"/>
      <c r="AEP53" s="2"/>
      <c r="AEQ53" s="2"/>
      <c r="AER53" s="2"/>
      <c r="AES53" s="2"/>
      <c r="AET53" s="2"/>
      <c r="AEU53" s="2"/>
      <c r="AEV53" s="2"/>
      <c r="AEW53" s="2"/>
      <c r="AEX53" s="2"/>
      <c r="AEY53" s="2"/>
      <c r="AEZ53" s="2"/>
      <c r="AFA53" s="2"/>
      <c r="AFB53" s="2"/>
      <c r="AFC53" s="2"/>
      <c r="AFD53" s="2"/>
      <c r="AFE53" s="2"/>
      <c r="AFF53" s="2"/>
      <c r="AFG53" s="2"/>
      <c r="AFH53" s="2"/>
      <c r="AFI53" s="2"/>
      <c r="AFJ53" s="2"/>
      <c r="AFK53" s="2"/>
      <c r="AFL53" s="2"/>
      <c r="AFM53" s="2"/>
      <c r="AFN53" s="2"/>
      <c r="AFO53" s="2"/>
      <c r="AFP53" s="2"/>
      <c r="AFQ53" s="2"/>
      <c r="AFR53" s="2"/>
      <c r="AFS53" s="2"/>
      <c r="AFT53" s="2"/>
      <c r="AFU53" s="2"/>
      <c r="AFV53" s="2"/>
      <c r="AFW53" s="2"/>
      <c r="AFX53" s="2"/>
      <c r="AFY53" s="2"/>
      <c r="AFZ53" s="2"/>
      <c r="AGA53" s="2"/>
      <c r="AGB53" s="2"/>
      <c r="AGC53" s="2"/>
      <c r="AGD53" s="2"/>
      <c r="AGE53" s="2"/>
      <c r="AGF53" s="2"/>
      <c r="AGG53" s="2"/>
      <c r="AGH53" s="2"/>
      <c r="AGI53" s="2"/>
      <c r="AGJ53" s="2"/>
      <c r="AGK53" s="2"/>
      <c r="AGL53" s="2"/>
      <c r="AGM53" s="2"/>
      <c r="AGN53" s="2"/>
      <c r="AGO53" s="2"/>
      <c r="AGP53" s="2"/>
      <c r="AGQ53" s="2"/>
      <c r="AGR53" s="2"/>
      <c r="AGS53" s="2"/>
      <c r="AGT53" s="2"/>
      <c r="AGU53" s="2"/>
      <c r="AGV53" s="2"/>
      <c r="AGW53" s="2"/>
      <c r="AGX53" s="2"/>
      <c r="AGY53" s="2"/>
      <c r="AGZ53" s="2"/>
      <c r="AHA53" s="2"/>
      <c r="AHB53" s="2"/>
      <c r="AHC53" s="2"/>
      <c r="AHD53" s="2"/>
      <c r="AHE53" s="2"/>
      <c r="AHF53" s="2"/>
      <c r="AHG53" s="2"/>
      <c r="AHH53" s="2"/>
      <c r="AHI53" s="2"/>
      <c r="AHJ53" s="2"/>
      <c r="AHK53" s="2"/>
      <c r="AHL53" s="2"/>
      <c r="AHM53" s="2"/>
      <c r="AHN53" s="2"/>
      <c r="AHO53" s="2"/>
      <c r="AHP53" s="2"/>
      <c r="AHQ53" s="2"/>
      <c r="AHR53" s="2"/>
      <c r="AHS53" s="2"/>
      <c r="AHT53" s="2"/>
      <c r="AHU53" s="2"/>
      <c r="AHV53" s="2"/>
      <c r="AHW53" s="2"/>
      <c r="AHX53" s="2"/>
      <c r="AHY53" s="2"/>
      <c r="AHZ53" s="2"/>
      <c r="AIA53" s="2"/>
      <c r="AIB53" s="2"/>
      <c r="AIC53" s="2"/>
      <c r="AID53" s="2"/>
      <c r="AIE53" s="2"/>
      <c r="AIF53" s="2"/>
      <c r="AIG53" s="2"/>
      <c r="AIH53" s="2"/>
      <c r="AII53" s="2"/>
      <c r="AIJ53" s="2"/>
      <c r="AIK53" s="2"/>
      <c r="AIL53" s="2"/>
      <c r="AIM53" s="2"/>
      <c r="AIN53" s="2"/>
      <c r="AIO53" s="2"/>
      <c r="AIP53" s="2"/>
      <c r="AIQ53" s="2"/>
      <c r="AIR53" s="2"/>
      <c r="AIS53" s="2"/>
      <c r="AIT53" s="2"/>
      <c r="AIU53" s="2"/>
      <c r="AIV53" s="2"/>
      <c r="AIW53" s="2"/>
      <c r="AIX53" s="2"/>
      <c r="AIY53" s="2"/>
      <c r="AIZ53" s="2"/>
      <c r="AJA53" s="2"/>
      <c r="AJB53" s="2"/>
      <c r="AJC53" s="2"/>
      <c r="AJD53" s="2"/>
      <c r="AJE53" s="2"/>
      <c r="AJF53" s="2"/>
      <c r="AJG53" s="2"/>
      <c r="AJH53" s="2"/>
      <c r="AJI53" s="2"/>
      <c r="AJJ53" s="2"/>
      <c r="AJK53" s="2"/>
      <c r="AJL53" s="2"/>
      <c r="AJM53" s="2"/>
      <c r="AJN53" s="2"/>
      <c r="AJO53" s="2"/>
      <c r="AJP53" s="2"/>
      <c r="AJQ53" s="2"/>
      <c r="AJR53" s="2"/>
      <c r="AJS53" s="2"/>
      <c r="AJT53" s="2"/>
      <c r="AJU53" s="2"/>
      <c r="AJV53" s="2"/>
      <c r="AJW53" s="2"/>
      <c r="AJX53" s="2"/>
      <c r="AJY53" s="2"/>
      <c r="AJZ53" s="2"/>
    </row>
    <row r="54" spans="1:962">
      <c r="A54" s="16">
        <v>53</v>
      </c>
      <c r="B54" s="16">
        <v>1</v>
      </c>
      <c r="C54" s="16">
        <v>9.16</v>
      </c>
      <c r="D54" s="9">
        <v>3.51</v>
      </c>
      <c r="E54" s="9">
        <v>4.7</v>
      </c>
      <c r="F54" s="9">
        <v>0.14000000000000001</v>
      </c>
      <c r="G54" s="16">
        <v>285</v>
      </c>
      <c r="H54" s="17">
        <v>2</v>
      </c>
      <c r="I54" s="9">
        <f t="shared" si="0"/>
        <v>0.74680851063829778</v>
      </c>
      <c r="J54" s="9">
        <f t="shared" si="1"/>
        <v>2.9787234042553193E-2</v>
      </c>
      <c r="K54" s="9">
        <f t="shared" si="2"/>
        <v>60.638297872340424</v>
      </c>
      <c r="L54" s="9">
        <f t="shared" si="3"/>
        <v>212.84042553191486</v>
      </c>
      <c r="M54" s="16"/>
      <c r="N54" s="16"/>
      <c r="O54" s="16">
        <v>6.1</v>
      </c>
      <c r="P54" s="9">
        <v>9.16</v>
      </c>
      <c r="Q54" s="9">
        <v>3.51</v>
      </c>
      <c r="R54" s="9">
        <v>4.7</v>
      </c>
      <c r="S54" s="9">
        <v>0.14000000000000001</v>
      </c>
      <c r="T54" s="9">
        <v>0.8</v>
      </c>
      <c r="U54" s="9">
        <v>0.01</v>
      </c>
      <c r="V54" s="9">
        <v>0</v>
      </c>
      <c r="W54" s="18">
        <v>9.07</v>
      </c>
      <c r="X54" s="19">
        <v>54</v>
      </c>
      <c r="Y54" s="16">
        <v>0.44</v>
      </c>
      <c r="Z54" s="16">
        <v>285</v>
      </c>
      <c r="AA54" s="16">
        <v>0.4</v>
      </c>
      <c r="AB54" s="16">
        <v>3.5000000000000003E-2</v>
      </c>
      <c r="AC54" s="16">
        <v>155.4</v>
      </c>
      <c r="AD54" s="16">
        <v>4.6399999999999997</v>
      </c>
      <c r="AE54" s="16">
        <v>118</v>
      </c>
      <c r="AF54" s="16">
        <v>2.66</v>
      </c>
      <c r="AG54" s="16">
        <v>1.36</v>
      </c>
      <c r="AH54" s="16">
        <v>7.88</v>
      </c>
      <c r="AI54" s="16">
        <v>132</v>
      </c>
      <c r="AJ54" s="16">
        <v>21.1</v>
      </c>
      <c r="AK54" s="16">
        <v>76.5</v>
      </c>
      <c r="AL54" s="16">
        <v>82.05</v>
      </c>
      <c r="AM54" s="16">
        <v>32.28</v>
      </c>
      <c r="AN54" s="16"/>
      <c r="AO54" s="16"/>
      <c r="AP54" s="16">
        <v>8</v>
      </c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  <c r="LB54" s="2"/>
      <c r="LC54" s="2"/>
      <c r="LD54" s="2"/>
      <c r="LE54" s="2"/>
      <c r="LF54" s="2"/>
      <c r="LG54" s="2"/>
      <c r="LH54" s="2"/>
      <c r="LI54" s="2"/>
      <c r="LJ54" s="2"/>
      <c r="LK54" s="2"/>
      <c r="LL54" s="2"/>
      <c r="LM54" s="2"/>
      <c r="LN54" s="2"/>
      <c r="LO54" s="2"/>
      <c r="LP54" s="2"/>
      <c r="LQ54" s="2"/>
      <c r="LR54" s="2"/>
      <c r="LS54" s="2"/>
      <c r="LT54" s="2"/>
      <c r="LU54" s="2"/>
      <c r="LV54" s="2"/>
      <c r="LW54" s="2"/>
      <c r="LX54" s="2"/>
      <c r="LY54" s="2"/>
      <c r="LZ54" s="2"/>
      <c r="MA54" s="2"/>
      <c r="MB54" s="2"/>
      <c r="MC54" s="2"/>
      <c r="MD54" s="2"/>
      <c r="ME54" s="2"/>
      <c r="MF54" s="2"/>
      <c r="MG54" s="2"/>
      <c r="MH54" s="2"/>
      <c r="MI54" s="2"/>
      <c r="MJ54" s="2"/>
      <c r="MK54" s="2"/>
      <c r="ML54" s="2"/>
      <c r="MM54" s="2"/>
      <c r="MN54" s="2"/>
      <c r="MO54" s="2"/>
      <c r="MP54" s="2"/>
      <c r="MQ54" s="2"/>
      <c r="MR54" s="2"/>
      <c r="MS54" s="2"/>
      <c r="MT54" s="2"/>
      <c r="MU54" s="2"/>
      <c r="MV54" s="2"/>
      <c r="MW54" s="2"/>
      <c r="MX54" s="2"/>
      <c r="MY54" s="2"/>
      <c r="MZ54" s="2"/>
      <c r="NA54" s="2"/>
      <c r="NB54" s="2"/>
      <c r="NC54" s="2"/>
      <c r="ND54" s="2"/>
      <c r="NE54" s="2"/>
      <c r="NF54" s="2"/>
      <c r="NG54" s="2"/>
      <c r="NH54" s="2"/>
      <c r="NI54" s="2"/>
      <c r="NJ54" s="2"/>
      <c r="NK54" s="2"/>
      <c r="NL54" s="2"/>
      <c r="NM54" s="2"/>
      <c r="NN54" s="2"/>
      <c r="NO54" s="2"/>
      <c r="NP54" s="2"/>
      <c r="NQ54" s="2"/>
      <c r="NR54" s="2"/>
      <c r="NS54" s="2"/>
      <c r="NT54" s="2"/>
      <c r="NU54" s="2"/>
      <c r="NV54" s="2"/>
      <c r="NW54" s="2"/>
      <c r="NX54" s="2"/>
      <c r="NY54" s="2"/>
      <c r="NZ54" s="2"/>
      <c r="OA54" s="2"/>
      <c r="OB54" s="2"/>
      <c r="OC54" s="2"/>
      <c r="OD54" s="2"/>
      <c r="OE54" s="2"/>
      <c r="OF54" s="2"/>
      <c r="OG54" s="2"/>
      <c r="OH54" s="2"/>
      <c r="OI54" s="2"/>
      <c r="OJ54" s="2"/>
      <c r="OK54" s="2"/>
      <c r="OL54" s="2"/>
      <c r="OM54" s="2"/>
      <c r="ON54" s="2"/>
      <c r="OO54" s="2"/>
      <c r="OP54" s="2"/>
      <c r="OQ54" s="2"/>
      <c r="OR54" s="2"/>
      <c r="OS54" s="2"/>
      <c r="OT54" s="2"/>
      <c r="OU54" s="2"/>
      <c r="OV54" s="2"/>
      <c r="OW54" s="2"/>
      <c r="OX54" s="2"/>
      <c r="OY54" s="2"/>
      <c r="OZ54" s="2"/>
      <c r="PA54" s="2"/>
      <c r="PB54" s="2"/>
      <c r="PC54" s="2"/>
      <c r="PD54" s="2"/>
      <c r="PE54" s="2"/>
      <c r="PF54" s="2"/>
      <c r="PG54" s="2"/>
      <c r="PH54" s="2"/>
      <c r="PI54" s="2"/>
      <c r="PJ54" s="2"/>
      <c r="PK54" s="2"/>
      <c r="PL54" s="2"/>
      <c r="PM54" s="2"/>
      <c r="PN54" s="2"/>
      <c r="PO54" s="2"/>
      <c r="PP54" s="2"/>
      <c r="PQ54" s="2"/>
      <c r="PR54" s="2"/>
      <c r="PS54" s="2"/>
      <c r="PT54" s="2"/>
      <c r="PU54" s="2"/>
      <c r="PV54" s="2"/>
      <c r="PW54" s="2"/>
      <c r="PX54" s="2"/>
      <c r="PY54" s="2"/>
      <c r="PZ54" s="2"/>
      <c r="QA54" s="2"/>
      <c r="QB54" s="2"/>
      <c r="QC54" s="2"/>
      <c r="QD54" s="2"/>
      <c r="QE54" s="2"/>
      <c r="QF54" s="2"/>
      <c r="QG54" s="2"/>
      <c r="QH54" s="2"/>
      <c r="QI54" s="2"/>
      <c r="QJ54" s="2"/>
      <c r="QK54" s="2"/>
      <c r="QL54" s="2"/>
      <c r="QM54" s="2"/>
      <c r="QN54" s="2"/>
      <c r="QO54" s="2"/>
      <c r="QP54" s="2"/>
      <c r="QQ54" s="2"/>
      <c r="QR54" s="2"/>
      <c r="QS54" s="2"/>
      <c r="QT54" s="2"/>
      <c r="QU54" s="2"/>
      <c r="QV54" s="2"/>
      <c r="QW54" s="2"/>
      <c r="QX54" s="2"/>
      <c r="QY54" s="2"/>
      <c r="QZ54" s="2"/>
      <c r="RA54" s="2"/>
      <c r="RB54" s="2"/>
      <c r="RC54" s="2"/>
      <c r="RD54" s="2"/>
      <c r="RE54" s="2"/>
      <c r="RF54" s="2"/>
      <c r="RG54" s="2"/>
      <c r="RH54" s="2"/>
      <c r="RI54" s="2"/>
      <c r="RJ54" s="2"/>
      <c r="RK54" s="2"/>
      <c r="RL54" s="2"/>
      <c r="RM54" s="2"/>
      <c r="RN54" s="2"/>
      <c r="RO54" s="2"/>
      <c r="RP54" s="2"/>
      <c r="RQ54" s="2"/>
      <c r="RR54" s="2"/>
      <c r="RS54" s="2"/>
      <c r="RT54" s="2"/>
      <c r="RU54" s="2"/>
      <c r="RV54" s="2"/>
      <c r="RW54" s="2"/>
      <c r="RX54" s="2"/>
      <c r="RY54" s="2"/>
      <c r="RZ54" s="2"/>
      <c r="SA54" s="2"/>
      <c r="SB54" s="2"/>
      <c r="SC54" s="2"/>
      <c r="SD54" s="2"/>
      <c r="SE54" s="2"/>
      <c r="SF54" s="2"/>
      <c r="SG54" s="2"/>
      <c r="SH54" s="2"/>
      <c r="SI54" s="2"/>
      <c r="SJ54" s="2"/>
      <c r="SK54" s="2"/>
      <c r="SL54" s="2"/>
      <c r="SM54" s="2"/>
      <c r="SN54" s="2"/>
      <c r="SO54" s="2"/>
      <c r="SP54" s="2"/>
      <c r="SQ54" s="2"/>
      <c r="SR54" s="2"/>
      <c r="SS54" s="2"/>
      <c r="ST54" s="2"/>
      <c r="SU54" s="2"/>
      <c r="SV54" s="2"/>
      <c r="SW54" s="2"/>
      <c r="SX54" s="2"/>
      <c r="SY54" s="2"/>
      <c r="SZ54" s="2"/>
      <c r="TA54" s="2"/>
      <c r="TB54" s="2"/>
      <c r="TC54" s="2"/>
      <c r="TD54" s="2"/>
      <c r="TE54" s="2"/>
      <c r="TF54" s="2"/>
      <c r="TG54" s="2"/>
      <c r="TH54" s="2"/>
      <c r="TI54" s="2"/>
      <c r="TJ54" s="2"/>
      <c r="TK54" s="2"/>
      <c r="TL54" s="2"/>
      <c r="TM54" s="2"/>
      <c r="TN54" s="2"/>
      <c r="TO54" s="2"/>
      <c r="TP54" s="2"/>
      <c r="TQ54" s="2"/>
      <c r="TR54" s="2"/>
      <c r="TS54" s="2"/>
      <c r="TT54" s="2"/>
      <c r="TU54" s="2"/>
      <c r="TV54" s="2"/>
      <c r="TW54" s="2"/>
      <c r="TX54" s="2"/>
      <c r="TY54" s="2"/>
      <c r="TZ54" s="2"/>
      <c r="UA54" s="2"/>
      <c r="UB54" s="2"/>
      <c r="UC54" s="2"/>
      <c r="UD54" s="2"/>
      <c r="UE54" s="2"/>
      <c r="UF54" s="2"/>
      <c r="UG54" s="2"/>
      <c r="UH54" s="2"/>
      <c r="UI54" s="2"/>
      <c r="UJ54" s="2"/>
      <c r="UK54" s="2"/>
      <c r="UL54" s="2"/>
      <c r="UM54" s="2"/>
      <c r="UN54" s="2"/>
      <c r="UO54" s="2"/>
      <c r="UP54" s="2"/>
      <c r="UQ54" s="2"/>
      <c r="UR54" s="2"/>
      <c r="US54" s="2"/>
      <c r="UT54" s="2"/>
      <c r="UU54" s="2"/>
      <c r="UV54" s="2"/>
      <c r="UW54" s="2"/>
      <c r="UX54" s="2"/>
      <c r="UY54" s="2"/>
      <c r="UZ54" s="2"/>
      <c r="VA54" s="2"/>
      <c r="VB54" s="2"/>
      <c r="VC54" s="2"/>
      <c r="VD54" s="2"/>
      <c r="VE54" s="2"/>
      <c r="VF54" s="2"/>
      <c r="VG54" s="2"/>
      <c r="VH54" s="2"/>
      <c r="VI54" s="2"/>
      <c r="VJ54" s="2"/>
      <c r="VK54" s="2"/>
      <c r="VL54" s="2"/>
      <c r="VM54" s="2"/>
      <c r="VN54" s="2"/>
      <c r="VO54" s="2"/>
      <c r="VP54" s="2"/>
      <c r="VQ54" s="2"/>
      <c r="VR54" s="2"/>
      <c r="VS54" s="2"/>
      <c r="VT54" s="2"/>
      <c r="VU54" s="2"/>
      <c r="VV54" s="2"/>
      <c r="VW54" s="2"/>
      <c r="VX54" s="2"/>
      <c r="VY54" s="2"/>
      <c r="VZ54" s="2"/>
      <c r="WA54" s="2"/>
      <c r="WB54" s="2"/>
      <c r="WC54" s="2"/>
      <c r="WD54" s="2"/>
      <c r="WE54" s="2"/>
      <c r="WF54" s="2"/>
      <c r="WG54" s="2"/>
      <c r="WH54" s="2"/>
      <c r="WI54" s="2"/>
      <c r="WJ54" s="2"/>
      <c r="WK54" s="2"/>
      <c r="WL54" s="2"/>
      <c r="WM54" s="2"/>
      <c r="WN54" s="2"/>
      <c r="WO54" s="2"/>
      <c r="WP54" s="2"/>
      <c r="WQ54" s="2"/>
      <c r="WR54" s="2"/>
      <c r="WS54" s="2"/>
      <c r="WT54" s="2"/>
      <c r="WU54" s="2"/>
      <c r="WV54" s="2"/>
      <c r="WW54" s="2"/>
      <c r="WX54" s="2"/>
      <c r="WY54" s="2"/>
      <c r="WZ54" s="2"/>
      <c r="XA54" s="2"/>
      <c r="XB54" s="2"/>
      <c r="XC54" s="2"/>
      <c r="XD54" s="2"/>
      <c r="XE54" s="2"/>
      <c r="XF54" s="2"/>
      <c r="XG54" s="2"/>
      <c r="XH54" s="2"/>
      <c r="XI54" s="2"/>
      <c r="XJ54" s="2"/>
      <c r="XK54" s="2"/>
      <c r="XL54" s="2"/>
      <c r="XM54" s="2"/>
      <c r="XN54" s="2"/>
      <c r="XO54" s="2"/>
      <c r="XP54" s="2"/>
      <c r="XQ54" s="2"/>
      <c r="XR54" s="2"/>
      <c r="XS54" s="2"/>
      <c r="XT54" s="2"/>
      <c r="XU54" s="2"/>
      <c r="XV54" s="2"/>
      <c r="XW54" s="2"/>
      <c r="XX54" s="2"/>
      <c r="XY54" s="2"/>
      <c r="XZ54" s="2"/>
      <c r="YA54" s="2"/>
      <c r="YB54" s="2"/>
      <c r="YC54" s="2"/>
      <c r="YD54" s="2"/>
      <c r="YE54" s="2"/>
      <c r="YF54" s="2"/>
      <c r="YG54" s="2"/>
      <c r="YH54" s="2"/>
      <c r="YI54" s="2"/>
      <c r="YJ54" s="2"/>
      <c r="YK54" s="2"/>
      <c r="YL54" s="2"/>
      <c r="YM54" s="2"/>
      <c r="YN54" s="2"/>
      <c r="YO54" s="2"/>
      <c r="YP54" s="2"/>
      <c r="YQ54" s="2"/>
      <c r="YR54" s="2"/>
      <c r="YS54" s="2"/>
      <c r="YT54" s="2"/>
      <c r="YU54" s="2"/>
      <c r="YV54" s="2"/>
      <c r="YW54" s="2"/>
      <c r="YX54" s="2"/>
      <c r="YY54" s="2"/>
      <c r="YZ54" s="2"/>
      <c r="ZA54" s="2"/>
      <c r="ZB54" s="2"/>
      <c r="ZC54" s="2"/>
      <c r="ZD54" s="2"/>
      <c r="ZE54" s="2"/>
      <c r="ZF54" s="2"/>
      <c r="ZG54" s="2"/>
      <c r="ZH54" s="2"/>
      <c r="ZI54" s="2"/>
      <c r="ZJ54" s="2"/>
      <c r="ZK54" s="2"/>
      <c r="ZL54" s="2"/>
      <c r="ZM54" s="2"/>
      <c r="ZN54" s="2"/>
      <c r="ZO54" s="2"/>
      <c r="ZP54" s="2"/>
      <c r="ZQ54" s="2"/>
      <c r="ZR54" s="2"/>
      <c r="ZS54" s="2"/>
      <c r="ZT54" s="2"/>
      <c r="ZU54" s="2"/>
      <c r="ZV54" s="2"/>
      <c r="ZW54" s="2"/>
      <c r="ZX54" s="2"/>
      <c r="ZY54" s="2"/>
      <c r="ZZ54" s="2"/>
      <c r="AAA54" s="2"/>
      <c r="AAB54" s="2"/>
      <c r="AAC54" s="2"/>
      <c r="AAD54" s="2"/>
      <c r="AAE54" s="2"/>
      <c r="AAF54" s="2"/>
      <c r="AAG54" s="2"/>
      <c r="AAH54" s="2"/>
      <c r="AAI54" s="2"/>
      <c r="AAJ54" s="2"/>
      <c r="AAK54" s="2"/>
      <c r="AAL54" s="2"/>
      <c r="AAM54" s="2"/>
      <c r="AAN54" s="2"/>
      <c r="AAO54" s="2"/>
      <c r="AAP54" s="2"/>
      <c r="AAQ54" s="2"/>
      <c r="AAR54" s="2"/>
      <c r="AAS54" s="2"/>
      <c r="AAT54" s="2"/>
      <c r="AAU54" s="2"/>
      <c r="AAV54" s="2"/>
      <c r="AAW54" s="2"/>
      <c r="AAX54" s="2"/>
      <c r="AAY54" s="2"/>
      <c r="AAZ54" s="2"/>
      <c r="ABA54" s="2"/>
      <c r="ABB54" s="2"/>
      <c r="ABC54" s="2"/>
      <c r="ABD54" s="2"/>
      <c r="ABE54" s="2"/>
      <c r="ABF54" s="2"/>
      <c r="ABG54" s="2"/>
      <c r="ABH54" s="2"/>
      <c r="ABI54" s="2"/>
      <c r="ABJ54" s="2"/>
      <c r="ABK54" s="2"/>
      <c r="ABL54" s="2"/>
      <c r="ABM54" s="2"/>
      <c r="ABN54" s="2"/>
      <c r="ABO54" s="2"/>
      <c r="ABP54" s="2"/>
      <c r="ABQ54" s="2"/>
      <c r="ABR54" s="2"/>
      <c r="ABS54" s="2"/>
      <c r="ABT54" s="2"/>
      <c r="ABU54" s="2"/>
      <c r="ABV54" s="2"/>
      <c r="ABW54" s="2"/>
      <c r="ABX54" s="2"/>
      <c r="ABY54" s="2"/>
      <c r="ABZ54" s="2"/>
      <c r="ACA54" s="2"/>
      <c r="ACB54" s="2"/>
      <c r="ACC54" s="2"/>
      <c r="ACD54" s="2"/>
      <c r="ACE54" s="2"/>
      <c r="ACF54" s="2"/>
      <c r="ACG54" s="2"/>
      <c r="ACH54" s="2"/>
      <c r="ACI54" s="2"/>
      <c r="ACJ54" s="2"/>
      <c r="ACK54" s="2"/>
      <c r="ACL54" s="2"/>
      <c r="ACM54" s="2"/>
      <c r="ACN54" s="2"/>
      <c r="ACO54" s="2"/>
      <c r="ACP54" s="2"/>
      <c r="ACQ54" s="2"/>
      <c r="ACR54" s="2"/>
      <c r="ACS54" s="2"/>
      <c r="ACT54" s="2"/>
      <c r="ACU54" s="2"/>
      <c r="ACV54" s="2"/>
      <c r="ACW54" s="2"/>
      <c r="ACX54" s="2"/>
      <c r="ACY54" s="2"/>
      <c r="ACZ54" s="2"/>
      <c r="ADA54" s="2"/>
      <c r="ADB54" s="2"/>
      <c r="ADC54" s="2"/>
      <c r="ADD54" s="2"/>
      <c r="ADE54" s="2"/>
      <c r="ADF54" s="2"/>
      <c r="ADG54" s="2"/>
      <c r="ADH54" s="2"/>
      <c r="ADI54" s="2"/>
      <c r="ADJ54" s="2"/>
      <c r="ADK54" s="2"/>
      <c r="ADL54" s="2"/>
      <c r="ADM54" s="2"/>
      <c r="ADN54" s="2"/>
      <c r="ADO54" s="2"/>
      <c r="ADP54" s="2"/>
      <c r="ADQ54" s="2"/>
      <c r="ADR54" s="2"/>
      <c r="ADS54" s="2"/>
      <c r="ADT54" s="2"/>
      <c r="ADU54" s="2"/>
      <c r="ADV54" s="2"/>
      <c r="ADW54" s="2"/>
      <c r="ADX54" s="2"/>
      <c r="ADY54" s="2"/>
      <c r="ADZ54" s="2"/>
      <c r="AEA54" s="2"/>
      <c r="AEB54" s="2"/>
      <c r="AEC54" s="2"/>
      <c r="AED54" s="2"/>
      <c r="AEE54" s="2"/>
      <c r="AEF54" s="2"/>
      <c r="AEG54" s="2"/>
      <c r="AEH54" s="2"/>
      <c r="AEI54" s="2"/>
      <c r="AEJ54" s="2"/>
      <c r="AEK54" s="2"/>
      <c r="AEL54" s="2"/>
      <c r="AEM54" s="2"/>
      <c r="AEN54" s="2"/>
      <c r="AEO54" s="2"/>
      <c r="AEP54" s="2"/>
      <c r="AEQ54" s="2"/>
      <c r="AER54" s="2"/>
      <c r="AES54" s="2"/>
      <c r="AET54" s="2"/>
      <c r="AEU54" s="2"/>
      <c r="AEV54" s="2"/>
      <c r="AEW54" s="2"/>
      <c r="AEX54" s="2"/>
      <c r="AEY54" s="2"/>
      <c r="AEZ54" s="2"/>
      <c r="AFA54" s="2"/>
      <c r="AFB54" s="2"/>
      <c r="AFC54" s="2"/>
      <c r="AFD54" s="2"/>
      <c r="AFE54" s="2"/>
      <c r="AFF54" s="2"/>
      <c r="AFG54" s="2"/>
      <c r="AFH54" s="2"/>
      <c r="AFI54" s="2"/>
      <c r="AFJ54" s="2"/>
      <c r="AFK54" s="2"/>
      <c r="AFL54" s="2"/>
      <c r="AFM54" s="2"/>
      <c r="AFN54" s="2"/>
      <c r="AFO54" s="2"/>
      <c r="AFP54" s="2"/>
      <c r="AFQ54" s="2"/>
      <c r="AFR54" s="2"/>
      <c r="AFS54" s="2"/>
      <c r="AFT54" s="2"/>
      <c r="AFU54" s="2"/>
      <c r="AFV54" s="2"/>
      <c r="AFW54" s="2"/>
      <c r="AFX54" s="2"/>
      <c r="AFY54" s="2"/>
      <c r="AFZ54" s="2"/>
      <c r="AGA54" s="2"/>
      <c r="AGB54" s="2"/>
      <c r="AGC54" s="2"/>
      <c r="AGD54" s="2"/>
      <c r="AGE54" s="2"/>
      <c r="AGF54" s="2"/>
      <c r="AGG54" s="2"/>
      <c r="AGH54" s="2"/>
      <c r="AGI54" s="2"/>
      <c r="AGJ54" s="2"/>
      <c r="AGK54" s="2"/>
      <c r="AGL54" s="2"/>
      <c r="AGM54" s="2"/>
      <c r="AGN54" s="2"/>
      <c r="AGO54" s="2"/>
      <c r="AGP54" s="2"/>
      <c r="AGQ54" s="2"/>
      <c r="AGR54" s="2"/>
      <c r="AGS54" s="2"/>
      <c r="AGT54" s="2"/>
      <c r="AGU54" s="2"/>
      <c r="AGV54" s="2"/>
      <c r="AGW54" s="2"/>
      <c r="AGX54" s="2"/>
      <c r="AGY54" s="2"/>
      <c r="AGZ54" s="2"/>
      <c r="AHA54" s="2"/>
      <c r="AHB54" s="2"/>
      <c r="AHC54" s="2"/>
      <c r="AHD54" s="2"/>
      <c r="AHE54" s="2"/>
      <c r="AHF54" s="2"/>
      <c r="AHG54" s="2"/>
      <c r="AHH54" s="2"/>
      <c r="AHI54" s="2"/>
      <c r="AHJ54" s="2"/>
      <c r="AHK54" s="2"/>
      <c r="AHL54" s="2"/>
      <c r="AHM54" s="2"/>
      <c r="AHN54" s="2"/>
      <c r="AHO54" s="2"/>
      <c r="AHP54" s="2"/>
      <c r="AHQ54" s="2"/>
      <c r="AHR54" s="2"/>
      <c r="AHS54" s="2"/>
      <c r="AHT54" s="2"/>
      <c r="AHU54" s="2"/>
      <c r="AHV54" s="2"/>
      <c r="AHW54" s="2"/>
      <c r="AHX54" s="2"/>
      <c r="AHY54" s="2"/>
      <c r="AHZ54" s="2"/>
      <c r="AIA54" s="2"/>
      <c r="AIB54" s="2"/>
      <c r="AIC54" s="2"/>
      <c r="AID54" s="2"/>
      <c r="AIE54" s="2"/>
      <c r="AIF54" s="2"/>
      <c r="AIG54" s="2"/>
      <c r="AIH54" s="2"/>
      <c r="AII54" s="2"/>
      <c r="AIJ54" s="2"/>
      <c r="AIK54" s="2"/>
      <c r="AIL54" s="2"/>
      <c r="AIM54" s="2"/>
      <c r="AIN54" s="2"/>
      <c r="AIO54" s="2"/>
      <c r="AIP54" s="2"/>
      <c r="AIQ54" s="2"/>
      <c r="AIR54" s="2"/>
      <c r="AIS54" s="2"/>
      <c r="AIT54" s="2"/>
      <c r="AIU54" s="2"/>
      <c r="AIV54" s="2"/>
      <c r="AIW54" s="2"/>
      <c r="AIX54" s="2"/>
      <c r="AIY54" s="2"/>
      <c r="AIZ54" s="2"/>
      <c r="AJA54" s="2"/>
      <c r="AJB54" s="2"/>
      <c r="AJC54" s="2"/>
      <c r="AJD54" s="2"/>
      <c r="AJE54" s="2"/>
      <c r="AJF54" s="2"/>
      <c r="AJG54" s="2"/>
      <c r="AJH54" s="2"/>
      <c r="AJI54" s="2"/>
      <c r="AJJ54" s="2"/>
      <c r="AJK54" s="2"/>
      <c r="AJL54" s="2"/>
      <c r="AJM54" s="2"/>
      <c r="AJN54" s="2"/>
      <c r="AJO54" s="2"/>
      <c r="AJP54" s="2"/>
      <c r="AJQ54" s="2"/>
      <c r="AJR54" s="2"/>
      <c r="AJS54" s="2"/>
      <c r="AJT54" s="2"/>
      <c r="AJU54" s="2"/>
      <c r="AJV54" s="2"/>
      <c r="AJW54" s="2"/>
      <c r="AJX54" s="2"/>
      <c r="AJY54" s="2"/>
      <c r="AJZ54" s="2"/>
    </row>
    <row r="55" spans="1:962">
      <c r="A55" s="16">
        <v>54</v>
      </c>
      <c r="B55" s="16">
        <v>1</v>
      </c>
      <c r="C55" s="16">
        <v>4.32</v>
      </c>
      <c r="D55" s="9">
        <v>1.81</v>
      </c>
      <c r="E55" s="9">
        <v>2.34</v>
      </c>
      <c r="F55" s="9">
        <v>0.04</v>
      </c>
      <c r="G55" s="16">
        <v>205</v>
      </c>
      <c r="H55" s="17">
        <v>2</v>
      </c>
      <c r="I55" s="9">
        <f t="shared" si="0"/>
        <v>0.77350427350427353</v>
      </c>
      <c r="J55" s="9">
        <f t="shared" si="1"/>
        <v>1.7094017094017096E-2</v>
      </c>
      <c r="K55" s="9">
        <f t="shared" si="2"/>
        <v>87.606837606837615</v>
      </c>
      <c r="L55" s="9">
        <f t="shared" si="3"/>
        <v>158.5683760683761</v>
      </c>
      <c r="M55" s="16">
        <v>8</v>
      </c>
      <c r="N55" s="16" t="s">
        <v>30</v>
      </c>
      <c r="O55" s="9">
        <v>6.56</v>
      </c>
      <c r="P55" s="9">
        <v>4.32</v>
      </c>
      <c r="Q55" s="9">
        <v>1.81</v>
      </c>
      <c r="R55" s="9">
        <v>2.34</v>
      </c>
      <c r="S55" s="9">
        <v>0.04</v>
      </c>
      <c r="T55" s="9">
        <v>0.11</v>
      </c>
      <c r="U55" s="9">
        <v>0.01</v>
      </c>
      <c r="V55" s="9">
        <v>0</v>
      </c>
      <c r="W55" s="18">
        <v>10.52</v>
      </c>
      <c r="X55" s="19">
        <v>138</v>
      </c>
      <c r="Y55" s="16">
        <v>0.46</v>
      </c>
      <c r="Z55" s="16">
        <v>205</v>
      </c>
      <c r="AA55" s="16">
        <v>0.4</v>
      </c>
      <c r="AB55" s="16">
        <v>0.04</v>
      </c>
      <c r="AC55" s="16"/>
      <c r="AD55" s="16"/>
      <c r="AE55" s="16"/>
      <c r="AF55" s="16">
        <v>2.4300000000000002</v>
      </c>
      <c r="AG55" s="16">
        <v>1.06</v>
      </c>
      <c r="AH55" s="16">
        <v>9.2200000000000006</v>
      </c>
      <c r="AI55" s="16">
        <v>122.93</v>
      </c>
      <c r="AJ55" s="16">
        <v>34</v>
      </c>
      <c r="AK55" s="16">
        <v>67.3</v>
      </c>
      <c r="AL55" s="16">
        <v>75.489999999999995</v>
      </c>
      <c r="AM55" s="16">
        <v>37.46</v>
      </c>
      <c r="AO55" s="16">
        <v>0.11799999999999999</v>
      </c>
      <c r="AP55" s="16">
        <v>10</v>
      </c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  <c r="JC55" s="2"/>
      <c r="JD55" s="2"/>
      <c r="JE55" s="2"/>
      <c r="JF55" s="2"/>
      <c r="JG55" s="2"/>
      <c r="JH55" s="2"/>
      <c r="JI55" s="2"/>
      <c r="JJ55" s="2"/>
      <c r="JK55" s="2"/>
      <c r="JL55" s="2"/>
      <c r="JM55" s="2"/>
      <c r="JN55" s="2"/>
      <c r="JO55" s="2"/>
      <c r="JP55" s="2"/>
      <c r="JQ55" s="2"/>
      <c r="JR55" s="2"/>
      <c r="JS55" s="2"/>
      <c r="JT55" s="2"/>
      <c r="JU55" s="2"/>
      <c r="JV55" s="2"/>
      <c r="JW55" s="2"/>
      <c r="JX55" s="2"/>
      <c r="JY55" s="2"/>
      <c r="JZ55" s="2"/>
      <c r="KA55" s="2"/>
      <c r="KB55" s="2"/>
      <c r="KC55" s="2"/>
      <c r="KD55" s="2"/>
      <c r="KE55" s="2"/>
      <c r="KF55" s="2"/>
      <c r="KG55" s="2"/>
      <c r="KH55" s="2"/>
      <c r="KI55" s="2"/>
      <c r="KJ55" s="2"/>
      <c r="KK55" s="2"/>
      <c r="KL55" s="2"/>
      <c r="KM55" s="2"/>
      <c r="KN55" s="2"/>
      <c r="KO55" s="2"/>
      <c r="KP55" s="2"/>
      <c r="KQ55" s="2"/>
      <c r="KR55" s="2"/>
      <c r="KS55" s="2"/>
      <c r="KT55" s="2"/>
      <c r="KU55" s="2"/>
      <c r="KV55" s="2"/>
      <c r="KW55" s="2"/>
      <c r="KX55" s="2"/>
      <c r="KY55" s="2"/>
      <c r="KZ55" s="2"/>
      <c r="LA55" s="2"/>
      <c r="LB55" s="2"/>
      <c r="LC55" s="2"/>
      <c r="LD55" s="2"/>
      <c r="LE55" s="2"/>
      <c r="LF55" s="2"/>
      <c r="LG55" s="2"/>
      <c r="LH55" s="2"/>
      <c r="LI55" s="2"/>
      <c r="LJ55" s="2"/>
      <c r="LK55" s="2"/>
      <c r="LL55" s="2"/>
      <c r="LM55" s="2"/>
      <c r="LN55" s="2"/>
      <c r="LO55" s="2"/>
      <c r="LP55" s="2"/>
      <c r="LQ55" s="2"/>
      <c r="LR55" s="2"/>
      <c r="LS55" s="2"/>
      <c r="LT55" s="2"/>
      <c r="LU55" s="2"/>
      <c r="LV55" s="2"/>
      <c r="LW55" s="2"/>
      <c r="LX55" s="2"/>
      <c r="LY55" s="2"/>
      <c r="LZ55" s="2"/>
      <c r="MA55" s="2"/>
      <c r="MB55" s="2"/>
      <c r="MC55" s="2"/>
      <c r="MD55" s="2"/>
      <c r="ME55" s="2"/>
      <c r="MF55" s="2"/>
      <c r="MG55" s="2"/>
      <c r="MH55" s="2"/>
      <c r="MI55" s="2"/>
      <c r="MJ55" s="2"/>
      <c r="MK55" s="2"/>
      <c r="ML55" s="2"/>
      <c r="MM55" s="2"/>
      <c r="MN55" s="2"/>
      <c r="MO55" s="2"/>
      <c r="MP55" s="2"/>
      <c r="MQ55" s="2"/>
      <c r="MR55" s="2"/>
      <c r="MS55" s="2"/>
      <c r="MT55" s="2"/>
      <c r="MU55" s="2"/>
      <c r="MV55" s="2"/>
      <c r="MW55" s="2"/>
      <c r="MX55" s="2"/>
      <c r="MY55" s="2"/>
      <c r="MZ55" s="2"/>
      <c r="NA55" s="2"/>
      <c r="NB55" s="2"/>
      <c r="NC55" s="2"/>
      <c r="ND55" s="2"/>
      <c r="NE55" s="2"/>
      <c r="NF55" s="2"/>
      <c r="NG55" s="2"/>
      <c r="NH55" s="2"/>
      <c r="NI55" s="2"/>
      <c r="NJ55" s="2"/>
      <c r="NK55" s="2"/>
      <c r="NL55" s="2"/>
      <c r="NM55" s="2"/>
      <c r="NN55" s="2"/>
      <c r="NO55" s="2"/>
      <c r="NP55" s="2"/>
      <c r="NQ55" s="2"/>
      <c r="NR55" s="2"/>
      <c r="NS55" s="2"/>
      <c r="NT55" s="2"/>
      <c r="NU55" s="2"/>
      <c r="NV55" s="2"/>
      <c r="NW55" s="2"/>
      <c r="NX55" s="2"/>
      <c r="NY55" s="2"/>
      <c r="NZ55" s="2"/>
      <c r="OA55" s="2"/>
      <c r="OB55" s="2"/>
      <c r="OC55" s="2"/>
      <c r="OD55" s="2"/>
      <c r="OE55" s="2"/>
      <c r="OF55" s="2"/>
      <c r="OG55" s="2"/>
      <c r="OH55" s="2"/>
      <c r="OI55" s="2"/>
      <c r="OJ55" s="2"/>
      <c r="OK55" s="2"/>
      <c r="OL55" s="2"/>
      <c r="OM55" s="2"/>
      <c r="ON55" s="2"/>
      <c r="OO55" s="2"/>
      <c r="OP55" s="2"/>
      <c r="OQ55" s="2"/>
      <c r="OR55" s="2"/>
      <c r="OS55" s="2"/>
      <c r="OT55" s="2"/>
      <c r="OU55" s="2"/>
      <c r="OV55" s="2"/>
      <c r="OW55" s="2"/>
      <c r="OX55" s="2"/>
      <c r="OY55" s="2"/>
      <c r="OZ55" s="2"/>
      <c r="PA55" s="2"/>
      <c r="PB55" s="2"/>
      <c r="PC55" s="2"/>
      <c r="PD55" s="2"/>
      <c r="PE55" s="2"/>
      <c r="PF55" s="2"/>
      <c r="PG55" s="2"/>
      <c r="PH55" s="2"/>
      <c r="PI55" s="2"/>
      <c r="PJ55" s="2"/>
      <c r="PK55" s="2"/>
      <c r="PL55" s="2"/>
      <c r="PM55" s="2"/>
      <c r="PN55" s="2"/>
      <c r="PO55" s="2"/>
      <c r="PP55" s="2"/>
      <c r="PQ55" s="2"/>
      <c r="PR55" s="2"/>
      <c r="PS55" s="2"/>
      <c r="PT55" s="2"/>
      <c r="PU55" s="2"/>
      <c r="PV55" s="2"/>
      <c r="PW55" s="2"/>
      <c r="PX55" s="2"/>
      <c r="PY55" s="2"/>
      <c r="PZ55" s="2"/>
      <c r="QA55" s="2"/>
      <c r="QB55" s="2"/>
      <c r="QC55" s="2"/>
      <c r="QD55" s="2"/>
      <c r="QE55" s="2"/>
      <c r="QF55" s="2"/>
      <c r="QG55" s="2"/>
      <c r="QH55" s="2"/>
      <c r="QI55" s="2"/>
      <c r="QJ55" s="2"/>
      <c r="QK55" s="2"/>
      <c r="QL55" s="2"/>
      <c r="QM55" s="2"/>
      <c r="QN55" s="2"/>
      <c r="QO55" s="2"/>
      <c r="QP55" s="2"/>
      <c r="QQ55" s="2"/>
      <c r="QR55" s="2"/>
      <c r="QS55" s="2"/>
      <c r="QT55" s="2"/>
      <c r="QU55" s="2"/>
      <c r="QV55" s="2"/>
      <c r="QW55" s="2"/>
      <c r="QX55" s="2"/>
      <c r="QY55" s="2"/>
      <c r="QZ55" s="2"/>
      <c r="RA55" s="2"/>
      <c r="RB55" s="2"/>
      <c r="RC55" s="2"/>
      <c r="RD55" s="2"/>
      <c r="RE55" s="2"/>
      <c r="RF55" s="2"/>
      <c r="RG55" s="2"/>
      <c r="RH55" s="2"/>
      <c r="RI55" s="2"/>
      <c r="RJ55" s="2"/>
      <c r="RK55" s="2"/>
      <c r="RL55" s="2"/>
      <c r="RM55" s="2"/>
      <c r="RN55" s="2"/>
      <c r="RO55" s="2"/>
      <c r="RP55" s="2"/>
      <c r="RQ55" s="2"/>
      <c r="RR55" s="2"/>
      <c r="RS55" s="2"/>
      <c r="RT55" s="2"/>
      <c r="RU55" s="2"/>
      <c r="RV55" s="2"/>
      <c r="RW55" s="2"/>
      <c r="RX55" s="2"/>
      <c r="RY55" s="2"/>
      <c r="RZ55" s="2"/>
      <c r="SA55" s="2"/>
      <c r="SB55" s="2"/>
      <c r="SC55" s="2"/>
      <c r="SD55" s="2"/>
      <c r="SE55" s="2"/>
      <c r="SF55" s="2"/>
      <c r="SG55" s="2"/>
      <c r="SH55" s="2"/>
      <c r="SI55" s="2"/>
      <c r="SJ55" s="2"/>
      <c r="SK55" s="2"/>
      <c r="SL55" s="2"/>
      <c r="SM55" s="2"/>
      <c r="SN55" s="2"/>
      <c r="SO55" s="2"/>
      <c r="SP55" s="2"/>
      <c r="SQ55" s="2"/>
      <c r="SR55" s="2"/>
      <c r="SS55" s="2"/>
      <c r="ST55" s="2"/>
      <c r="SU55" s="2"/>
      <c r="SV55" s="2"/>
      <c r="SW55" s="2"/>
      <c r="SX55" s="2"/>
      <c r="SY55" s="2"/>
      <c r="SZ55" s="2"/>
      <c r="TA55" s="2"/>
      <c r="TB55" s="2"/>
      <c r="TC55" s="2"/>
      <c r="TD55" s="2"/>
      <c r="TE55" s="2"/>
      <c r="TF55" s="2"/>
      <c r="TG55" s="2"/>
      <c r="TH55" s="2"/>
      <c r="TI55" s="2"/>
      <c r="TJ55" s="2"/>
      <c r="TK55" s="2"/>
      <c r="TL55" s="2"/>
      <c r="TM55" s="2"/>
      <c r="TN55" s="2"/>
      <c r="TO55" s="2"/>
      <c r="TP55" s="2"/>
      <c r="TQ55" s="2"/>
      <c r="TR55" s="2"/>
      <c r="TS55" s="2"/>
      <c r="TT55" s="2"/>
      <c r="TU55" s="2"/>
      <c r="TV55" s="2"/>
      <c r="TW55" s="2"/>
      <c r="TX55" s="2"/>
      <c r="TY55" s="2"/>
      <c r="TZ55" s="2"/>
      <c r="UA55" s="2"/>
      <c r="UB55" s="2"/>
      <c r="UC55" s="2"/>
      <c r="UD55" s="2"/>
      <c r="UE55" s="2"/>
      <c r="UF55" s="2"/>
      <c r="UG55" s="2"/>
      <c r="UH55" s="2"/>
      <c r="UI55" s="2"/>
      <c r="UJ55" s="2"/>
      <c r="UK55" s="2"/>
      <c r="UL55" s="2"/>
      <c r="UM55" s="2"/>
      <c r="UN55" s="2"/>
      <c r="UO55" s="2"/>
      <c r="UP55" s="2"/>
      <c r="UQ55" s="2"/>
      <c r="UR55" s="2"/>
      <c r="US55" s="2"/>
      <c r="UT55" s="2"/>
      <c r="UU55" s="2"/>
      <c r="UV55" s="2"/>
      <c r="UW55" s="2"/>
      <c r="UX55" s="2"/>
      <c r="UY55" s="2"/>
      <c r="UZ55" s="2"/>
      <c r="VA55" s="2"/>
      <c r="VB55" s="2"/>
      <c r="VC55" s="2"/>
      <c r="VD55" s="2"/>
      <c r="VE55" s="2"/>
      <c r="VF55" s="2"/>
      <c r="VG55" s="2"/>
      <c r="VH55" s="2"/>
      <c r="VI55" s="2"/>
      <c r="VJ55" s="2"/>
      <c r="VK55" s="2"/>
      <c r="VL55" s="2"/>
      <c r="VM55" s="2"/>
      <c r="VN55" s="2"/>
      <c r="VO55" s="2"/>
      <c r="VP55" s="2"/>
      <c r="VQ55" s="2"/>
      <c r="VR55" s="2"/>
      <c r="VS55" s="2"/>
      <c r="VT55" s="2"/>
      <c r="VU55" s="2"/>
      <c r="VV55" s="2"/>
      <c r="VW55" s="2"/>
      <c r="VX55" s="2"/>
      <c r="VY55" s="2"/>
      <c r="VZ55" s="2"/>
      <c r="WA55" s="2"/>
      <c r="WB55" s="2"/>
      <c r="WC55" s="2"/>
      <c r="WD55" s="2"/>
      <c r="WE55" s="2"/>
      <c r="WF55" s="2"/>
      <c r="WG55" s="2"/>
      <c r="WH55" s="2"/>
      <c r="WI55" s="2"/>
      <c r="WJ55" s="2"/>
      <c r="WK55" s="2"/>
      <c r="WL55" s="2"/>
      <c r="WM55" s="2"/>
      <c r="WN55" s="2"/>
      <c r="WO55" s="2"/>
      <c r="WP55" s="2"/>
      <c r="WQ55" s="2"/>
      <c r="WR55" s="2"/>
      <c r="WS55" s="2"/>
      <c r="WT55" s="2"/>
      <c r="WU55" s="2"/>
      <c r="WV55" s="2"/>
      <c r="WW55" s="2"/>
      <c r="WX55" s="2"/>
      <c r="WY55" s="2"/>
      <c r="WZ55" s="2"/>
      <c r="XA55" s="2"/>
      <c r="XB55" s="2"/>
      <c r="XC55" s="2"/>
      <c r="XD55" s="2"/>
      <c r="XE55" s="2"/>
      <c r="XF55" s="2"/>
      <c r="XG55" s="2"/>
      <c r="XH55" s="2"/>
      <c r="XI55" s="2"/>
      <c r="XJ55" s="2"/>
      <c r="XK55" s="2"/>
      <c r="XL55" s="2"/>
      <c r="XM55" s="2"/>
      <c r="XN55" s="2"/>
      <c r="XO55" s="2"/>
      <c r="XP55" s="2"/>
      <c r="XQ55" s="2"/>
      <c r="XR55" s="2"/>
      <c r="XS55" s="2"/>
      <c r="XT55" s="2"/>
      <c r="XU55" s="2"/>
      <c r="XV55" s="2"/>
      <c r="XW55" s="2"/>
      <c r="XX55" s="2"/>
      <c r="XY55" s="2"/>
      <c r="XZ55" s="2"/>
      <c r="YA55" s="2"/>
      <c r="YB55" s="2"/>
      <c r="YC55" s="2"/>
      <c r="YD55" s="2"/>
      <c r="YE55" s="2"/>
      <c r="YF55" s="2"/>
      <c r="YG55" s="2"/>
      <c r="YH55" s="2"/>
      <c r="YI55" s="2"/>
      <c r="YJ55" s="2"/>
      <c r="YK55" s="2"/>
      <c r="YL55" s="2"/>
      <c r="YM55" s="2"/>
      <c r="YN55" s="2"/>
      <c r="YO55" s="2"/>
      <c r="YP55" s="2"/>
      <c r="YQ55" s="2"/>
      <c r="YR55" s="2"/>
      <c r="YS55" s="2"/>
      <c r="YT55" s="2"/>
      <c r="YU55" s="2"/>
      <c r="YV55" s="2"/>
      <c r="YW55" s="2"/>
      <c r="YX55" s="2"/>
      <c r="YY55" s="2"/>
      <c r="YZ55" s="2"/>
      <c r="ZA55" s="2"/>
      <c r="ZB55" s="2"/>
      <c r="ZC55" s="2"/>
      <c r="ZD55" s="2"/>
      <c r="ZE55" s="2"/>
      <c r="ZF55" s="2"/>
      <c r="ZG55" s="2"/>
      <c r="ZH55" s="2"/>
      <c r="ZI55" s="2"/>
      <c r="ZJ55" s="2"/>
      <c r="ZK55" s="2"/>
      <c r="ZL55" s="2"/>
      <c r="ZM55" s="2"/>
      <c r="ZN55" s="2"/>
      <c r="ZO55" s="2"/>
      <c r="ZP55" s="2"/>
      <c r="ZQ55" s="2"/>
      <c r="ZR55" s="2"/>
      <c r="ZS55" s="2"/>
      <c r="ZT55" s="2"/>
      <c r="ZU55" s="2"/>
      <c r="ZV55" s="2"/>
      <c r="ZW55" s="2"/>
      <c r="ZX55" s="2"/>
      <c r="ZY55" s="2"/>
      <c r="ZZ55" s="2"/>
      <c r="AAA55" s="2"/>
      <c r="AAB55" s="2"/>
      <c r="AAC55" s="2"/>
      <c r="AAD55" s="2"/>
      <c r="AAE55" s="2"/>
      <c r="AAF55" s="2"/>
      <c r="AAG55" s="2"/>
      <c r="AAH55" s="2"/>
      <c r="AAI55" s="2"/>
      <c r="AAJ55" s="2"/>
      <c r="AAK55" s="2"/>
      <c r="AAL55" s="2"/>
      <c r="AAM55" s="2"/>
      <c r="AAN55" s="2"/>
      <c r="AAO55" s="2"/>
      <c r="AAP55" s="2"/>
      <c r="AAQ55" s="2"/>
      <c r="AAR55" s="2"/>
      <c r="AAS55" s="2"/>
      <c r="AAT55" s="2"/>
      <c r="AAU55" s="2"/>
      <c r="AAV55" s="2"/>
      <c r="AAW55" s="2"/>
      <c r="AAX55" s="2"/>
      <c r="AAY55" s="2"/>
      <c r="AAZ55" s="2"/>
      <c r="ABA55" s="2"/>
      <c r="ABB55" s="2"/>
      <c r="ABC55" s="2"/>
      <c r="ABD55" s="2"/>
      <c r="ABE55" s="2"/>
      <c r="ABF55" s="2"/>
      <c r="ABG55" s="2"/>
      <c r="ABH55" s="2"/>
      <c r="ABI55" s="2"/>
      <c r="ABJ55" s="2"/>
      <c r="ABK55" s="2"/>
      <c r="ABL55" s="2"/>
      <c r="ABM55" s="2"/>
      <c r="ABN55" s="2"/>
      <c r="ABO55" s="2"/>
      <c r="ABP55" s="2"/>
      <c r="ABQ55" s="2"/>
      <c r="ABR55" s="2"/>
      <c r="ABS55" s="2"/>
      <c r="ABT55" s="2"/>
      <c r="ABU55" s="2"/>
      <c r="ABV55" s="2"/>
      <c r="ABW55" s="2"/>
      <c r="ABX55" s="2"/>
      <c r="ABY55" s="2"/>
      <c r="ABZ55" s="2"/>
      <c r="ACA55" s="2"/>
      <c r="ACB55" s="2"/>
      <c r="ACC55" s="2"/>
      <c r="ACD55" s="2"/>
      <c r="ACE55" s="2"/>
      <c r="ACF55" s="2"/>
      <c r="ACG55" s="2"/>
      <c r="ACH55" s="2"/>
      <c r="ACI55" s="2"/>
      <c r="ACJ55" s="2"/>
      <c r="ACK55" s="2"/>
      <c r="ACL55" s="2"/>
      <c r="ACM55" s="2"/>
      <c r="ACN55" s="2"/>
      <c r="ACO55" s="2"/>
      <c r="ACP55" s="2"/>
      <c r="ACQ55" s="2"/>
      <c r="ACR55" s="2"/>
      <c r="ACS55" s="2"/>
      <c r="ACT55" s="2"/>
      <c r="ACU55" s="2"/>
      <c r="ACV55" s="2"/>
      <c r="ACW55" s="2"/>
      <c r="ACX55" s="2"/>
      <c r="ACY55" s="2"/>
      <c r="ACZ55" s="2"/>
      <c r="ADA55" s="2"/>
      <c r="ADB55" s="2"/>
      <c r="ADC55" s="2"/>
      <c r="ADD55" s="2"/>
      <c r="ADE55" s="2"/>
      <c r="ADF55" s="2"/>
      <c r="ADG55" s="2"/>
      <c r="ADH55" s="2"/>
      <c r="ADI55" s="2"/>
      <c r="ADJ55" s="2"/>
      <c r="ADK55" s="2"/>
      <c r="ADL55" s="2"/>
      <c r="ADM55" s="2"/>
      <c r="ADN55" s="2"/>
      <c r="ADO55" s="2"/>
      <c r="ADP55" s="2"/>
      <c r="ADQ55" s="2"/>
      <c r="ADR55" s="2"/>
      <c r="ADS55" s="2"/>
      <c r="ADT55" s="2"/>
      <c r="ADU55" s="2"/>
      <c r="ADV55" s="2"/>
      <c r="ADW55" s="2"/>
      <c r="ADX55" s="2"/>
      <c r="ADY55" s="2"/>
      <c r="ADZ55" s="2"/>
      <c r="AEA55" s="2"/>
      <c r="AEB55" s="2"/>
      <c r="AEC55" s="2"/>
      <c r="AED55" s="2"/>
      <c r="AEE55" s="2"/>
      <c r="AEF55" s="2"/>
      <c r="AEG55" s="2"/>
      <c r="AEH55" s="2"/>
      <c r="AEI55" s="2"/>
      <c r="AEJ55" s="2"/>
      <c r="AEK55" s="2"/>
      <c r="AEL55" s="2"/>
      <c r="AEM55" s="2"/>
      <c r="AEN55" s="2"/>
      <c r="AEO55" s="2"/>
      <c r="AEP55" s="2"/>
      <c r="AEQ55" s="2"/>
      <c r="AER55" s="2"/>
      <c r="AES55" s="2"/>
      <c r="AET55" s="2"/>
      <c r="AEU55" s="2"/>
      <c r="AEV55" s="2"/>
      <c r="AEW55" s="2"/>
      <c r="AEX55" s="2"/>
      <c r="AEY55" s="2"/>
      <c r="AEZ55" s="2"/>
      <c r="AFA55" s="2"/>
      <c r="AFB55" s="2"/>
      <c r="AFC55" s="2"/>
      <c r="AFD55" s="2"/>
      <c r="AFE55" s="2"/>
      <c r="AFF55" s="2"/>
      <c r="AFG55" s="2"/>
      <c r="AFH55" s="2"/>
      <c r="AFI55" s="2"/>
      <c r="AFJ55" s="2"/>
      <c r="AFK55" s="2"/>
      <c r="AFL55" s="2"/>
      <c r="AFM55" s="2"/>
      <c r="AFN55" s="2"/>
      <c r="AFO55" s="2"/>
      <c r="AFP55" s="2"/>
      <c r="AFQ55" s="2"/>
      <c r="AFR55" s="2"/>
      <c r="AFS55" s="2"/>
      <c r="AFT55" s="2"/>
      <c r="AFU55" s="2"/>
      <c r="AFV55" s="2"/>
      <c r="AFW55" s="2"/>
      <c r="AFX55" s="2"/>
      <c r="AFY55" s="2"/>
      <c r="AFZ55" s="2"/>
      <c r="AGA55" s="2"/>
      <c r="AGB55" s="2"/>
      <c r="AGC55" s="2"/>
      <c r="AGD55" s="2"/>
      <c r="AGE55" s="2"/>
      <c r="AGF55" s="2"/>
      <c r="AGG55" s="2"/>
      <c r="AGH55" s="2"/>
      <c r="AGI55" s="2"/>
      <c r="AGJ55" s="2"/>
      <c r="AGK55" s="2"/>
      <c r="AGL55" s="2"/>
      <c r="AGM55" s="2"/>
      <c r="AGN55" s="2"/>
      <c r="AGO55" s="2"/>
      <c r="AGP55" s="2"/>
      <c r="AGQ55" s="2"/>
      <c r="AGR55" s="2"/>
      <c r="AGS55" s="2"/>
      <c r="AGT55" s="2"/>
      <c r="AGU55" s="2"/>
      <c r="AGV55" s="2"/>
      <c r="AGW55" s="2"/>
      <c r="AGX55" s="2"/>
      <c r="AGY55" s="2"/>
      <c r="AGZ55" s="2"/>
      <c r="AHA55" s="2"/>
      <c r="AHB55" s="2"/>
      <c r="AHC55" s="2"/>
      <c r="AHD55" s="2"/>
      <c r="AHE55" s="2"/>
      <c r="AHF55" s="2"/>
      <c r="AHG55" s="2"/>
      <c r="AHH55" s="2"/>
      <c r="AHI55" s="2"/>
      <c r="AHJ55" s="2"/>
      <c r="AHK55" s="2"/>
      <c r="AHL55" s="2"/>
      <c r="AHM55" s="2"/>
      <c r="AHN55" s="2"/>
      <c r="AHO55" s="2"/>
      <c r="AHP55" s="2"/>
      <c r="AHQ55" s="2"/>
      <c r="AHR55" s="2"/>
      <c r="AHS55" s="2"/>
      <c r="AHT55" s="2"/>
      <c r="AHU55" s="2"/>
      <c r="AHV55" s="2"/>
      <c r="AHW55" s="2"/>
      <c r="AHX55" s="2"/>
      <c r="AHY55" s="2"/>
      <c r="AHZ55" s="2"/>
      <c r="AIA55" s="2"/>
      <c r="AIB55" s="2"/>
      <c r="AIC55" s="2"/>
      <c r="AID55" s="2"/>
      <c r="AIE55" s="2"/>
      <c r="AIF55" s="2"/>
      <c r="AIG55" s="2"/>
      <c r="AIH55" s="2"/>
      <c r="AII55" s="2"/>
      <c r="AIJ55" s="2"/>
      <c r="AIK55" s="2"/>
      <c r="AIL55" s="2"/>
      <c r="AIM55" s="2"/>
      <c r="AIN55" s="2"/>
      <c r="AIO55" s="2"/>
      <c r="AIP55" s="2"/>
      <c r="AIQ55" s="2"/>
      <c r="AIR55" s="2"/>
      <c r="AIS55" s="2"/>
      <c r="AIT55" s="2"/>
      <c r="AIU55" s="2"/>
      <c r="AIV55" s="2"/>
      <c r="AIW55" s="2"/>
      <c r="AIX55" s="2"/>
      <c r="AIY55" s="2"/>
      <c r="AIZ55" s="2"/>
      <c r="AJA55" s="2"/>
      <c r="AJB55" s="2"/>
      <c r="AJC55" s="2"/>
      <c r="AJD55" s="2"/>
      <c r="AJE55" s="2"/>
      <c r="AJF55" s="2"/>
      <c r="AJG55" s="2"/>
      <c r="AJH55" s="2"/>
      <c r="AJI55" s="2"/>
      <c r="AJJ55" s="2"/>
      <c r="AJK55" s="2"/>
      <c r="AJL55" s="2"/>
      <c r="AJM55" s="2"/>
      <c r="AJN55" s="2"/>
      <c r="AJO55" s="2"/>
      <c r="AJP55" s="2"/>
      <c r="AJQ55" s="2"/>
      <c r="AJR55" s="2"/>
      <c r="AJS55" s="2"/>
      <c r="AJT55" s="2"/>
      <c r="AJU55" s="2"/>
      <c r="AJV55" s="2"/>
      <c r="AJW55" s="2"/>
      <c r="AJX55" s="2"/>
      <c r="AJY55" s="2"/>
      <c r="AJZ55" s="2"/>
    </row>
    <row r="56" spans="1:962">
      <c r="A56" s="16">
        <v>55</v>
      </c>
      <c r="B56" s="16">
        <v>1</v>
      </c>
      <c r="C56" s="16">
        <v>3.91</v>
      </c>
      <c r="D56" s="9">
        <v>1.9</v>
      </c>
      <c r="E56" s="9">
        <v>1.61</v>
      </c>
      <c r="F56" s="9">
        <v>0.05</v>
      </c>
      <c r="G56" s="16">
        <v>234</v>
      </c>
      <c r="H56" s="17">
        <v>2</v>
      </c>
      <c r="I56" s="9">
        <f t="shared" si="0"/>
        <v>1.1801242236024843</v>
      </c>
      <c r="J56" s="9">
        <f t="shared" si="1"/>
        <v>3.1055900621118012E-2</v>
      </c>
      <c r="K56" s="9">
        <f t="shared" si="2"/>
        <v>145.34161490683229</v>
      </c>
      <c r="L56" s="9">
        <f t="shared" si="3"/>
        <v>276.14906832298135</v>
      </c>
      <c r="M56" s="16">
        <v>6</v>
      </c>
      <c r="N56" s="16" t="s">
        <v>30</v>
      </c>
      <c r="O56" s="9">
        <v>5.9</v>
      </c>
      <c r="P56" s="9">
        <v>3.91</v>
      </c>
      <c r="Q56" s="9">
        <v>1.9</v>
      </c>
      <c r="R56" s="9">
        <v>1.61</v>
      </c>
      <c r="S56" s="9">
        <v>0.05</v>
      </c>
      <c r="T56" s="9">
        <v>0.34</v>
      </c>
      <c r="U56" s="9">
        <v>0</v>
      </c>
      <c r="V56" s="9">
        <v>0</v>
      </c>
      <c r="W56" s="18">
        <v>8.2200000000000006</v>
      </c>
      <c r="X56" s="19">
        <v>137</v>
      </c>
      <c r="Y56" s="16">
        <v>0.42</v>
      </c>
      <c r="Z56" s="16">
        <v>234</v>
      </c>
      <c r="AA56" s="16">
        <v>0.4</v>
      </c>
      <c r="AB56" s="16">
        <v>3.5000000000000003E-2</v>
      </c>
      <c r="AC56" s="16">
        <v>156</v>
      </c>
      <c r="AD56" s="16">
        <v>4.37</v>
      </c>
      <c r="AE56" s="16">
        <v>119.9</v>
      </c>
      <c r="AF56" s="16">
        <v>2.42</v>
      </c>
      <c r="AG56" s="16">
        <v>1.49</v>
      </c>
      <c r="AH56" s="16">
        <v>9.14</v>
      </c>
      <c r="AI56" s="16">
        <v>130</v>
      </c>
      <c r="AJ56" s="16">
        <v>33.799999999999997</v>
      </c>
      <c r="AK56" s="16">
        <v>54.9</v>
      </c>
      <c r="AL56" s="16">
        <v>65.599999999999994</v>
      </c>
      <c r="AM56" s="16">
        <v>34.9</v>
      </c>
      <c r="AN56" s="16">
        <v>1.0740000000000001</v>
      </c>
      <c r="AO56" s="16">
        <v>0.214</v>
      </c>
      <c r="AP56" s="16">
        <v>10</v>
      </c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  <c r="LB56" s="2"/>
      <c r="LC56" s="2"/>
      <c r="LD56" s="2"/>
      <c r="LE56" s="2"/>
      <c r="LF56" s="2"/>
      <c r="LG56" s="2"/>
      <c r="LH56" s="2"/>
      <c r="LI56" s="2"/>
      <c r="LJ56" s="2"/>
      <c r="LK56" s="2"/>
      <c r="LL56" s="2"/>
      <c r="LM56" s="2"/>
      <c r="LN56" s="2"/>
      <c r="LO56" s="2"/>
      <c r="LP56" s="2"/>
      <c r="LQ56" s="2"/>
      <c r="LR56" s="2"/>
      <c r="LS56" s="2"/>
      <c r="LT56" s="2"/>
      <c r="LU56" s="2"/>
      <c r="LV56" s="2"/>
      <c r="LW56" s="2"/>
      <c r="LX56" s="2"/>
      <c r="LY56" s="2"/>
      <c r="LZ56" s="2"/>
      <c r="MA56" s="2"/>
      <c r="MB56" s="2"/>
      <c r="MC56" s="2"/>
      <c r="MD56" s="2"/>
      <c r="ME56" s="2"/>
      <c r="MF56" s="2"/>
      <c r="MG56" s="2"/>
      <c r="MH56" s="2"/>
      <c r="MI56" s="2"/>
      <c r="MJ56" s="2"/>
      <c r="MK56" s="2"/>
      <c r="ML56" s="2"/>
      <c r="MM56" s="2"/>
      <c r="MN56" s="2"/>
      <c r="MO56" s="2"/>
      <c r="MP56" s="2"/>
      <c r="MQ56" s="2"/>
      <c r="MR56" s="2"/>
      <c r="MS56" s="2"/>
      <c r="MT56" s="2"/>
      <c r="MU56" s="2"/>
      <c r="MV56" s="2"/>
      <c r="MW56" s="2"/>
      <c r="MX56" s="2"/>
      <c r="MY56" s="2"/>
      <c r="MZ56" s="2"/>
      <c r="NA56" s="2"/>
      <c r="NB56" s="2"/>
      <c r="NC56" s="2"/>
      <c r="ND56" s="2"/>
      <c r="NE56" s="2"/>
      <c r="NF56" s="2"/>
      <c r="NG56" s="2"/>
      <c r="NH56" s="2"/>
      <c r="NI56" s="2"/>
      <c r="NJ56" s="2"/>
      <c r="NK56" s="2"/>
      <c r="NL56" s="2"/>
      <c r="NM56" s="2"/>
      <c r="NN56" s="2"/>
      <c r="NO56" s="2"/>
      <c r="NP56" s="2"/>
      <c r="NQ56" s="2"/>
      <c r="NR56" s="2"/>
      <c r="NS56" s="2"/>
      <c r="NT56" s="2"/>
      <c r="NU56" s="2"/>
      <c r="NV56" s="2"/>
      <c r="NW56" s="2"/>
      <c r="NX56" s="2"/>
      <c r="NY56" s="2"/>
      <c r="NZ56" s="2"/>
      <c r="OA56" s="2"/>
      <c r="OB56" s="2"/>
      <c r="OC56" s="2"/>
      <c r="OD56" s="2"/>
      <c r="OE56" s="2"/>
      <c r="OF56" s="2"/>
      <c r="OG56" s="2"/>
      <c r="OH56" s="2"/>
      <c r="OI56" s="2"/>
      <c r="OJ56" s="2"/>
      <c r="OK56" s="2"/>
      <c r="OL56" s="2"/>
      <c r="OM56" s="2"/>
      <c r="ON56" s="2"/>
      <c r="OO56" s="2"/>
      <c r="OP56" s="2"/>
      <c r="OQ56" s="2"/>
      <c r="OR56" s="2"/>
      <c r="OS56" s="2"/>
      <c r="OT56" s="2"/>
      <c r="OU56" s="2"/>
      <c r="OV56" s="2"/>
      <c r="OW56" s="2"/>
      <c r="OX56" s="2"/>
      <c r="OY56" s="2"/>
      <c r="OZ56" s="2"/>
      <c r="PA56" s="2"/>
      <c r="PB56" s="2"/>
      <c r="PC56" s="2"/>
      <c r="PD56" s="2"/>
      <c r="PE56" s="2"/>
      <c r="PF56" s="2"/>
      <c r="PG56" s="2"/>
      <c r="PH56" s="2"/>
      <c r="PI56" s="2"/>
      <c r="PJ56" s="2"/>
      <c r="PK56" s="2"/>
      <c r="PL56" s="2"/>
      <c r="PM56" s="2"/>
      <c r="PN56" s="2"/>
      <c r="PO56" s="2"/>
      <c r="PP56" s="2"/>
      <c r="PQ56" s="2"/>
      <c r="PR56" s="2"/>
      <c r="PS56" s="2"/>
      <c r="PT56" s="2"/>
      <c r="PU56" s="2"/>
      <c r="PV56" s="2"/>
      <c r="PW56" s="2"/>
      <c r="PX56" s="2"/>
      <c r="PY56" s="2"/>
      <c r="PZ56" s="2"/>
      <c r="QA56" s="2"/>
      <c r="QB56" s="2"/>
      <c r="QC56" s="2"/>
      <c r="QD56" s="2"/>
      <c r="QE56" s="2"/>
      <c r="QF56" s="2"/>
      <c r="QG56" s="2"/>
      <c r="QH56" s="2"/>
      <c r="QI56" s="2"/>
      <c r="QJ56" s="2"/>
      <c r="QK56" s="2"/>
      <c r="QL56" s="2"/>
      <c r="QM56" s="2"/>
      <c r="QN56" s="2"/>
      <c r="QO56" s="2"/>
      <c r="QP56" s="2"/>
      <c r="QQ56" s="2"/>
      <c r="QR56" s="2"/>
      <c r="QS56" s="2"/>
      <c r="QT56" s="2"/>
      <c r="QU56" s="2"/>
      <c r="QV56" s="2"/>
      <c r="QW56" s="2"/>
      <c r="QX56" s="2"/>
      <c r="QY56" s="2"/>
      <c r="QZ56" s="2"/>
      <c r="RA56" s="2"/>
      <c r="RB56" s="2"/>
      <c r="RC56" s="2"/>
      <c r="RD56" s="2"/>
      <c r="RE56" s="2"/>
      <c r="RF56" s="2"/>
      <c r="RG56" s="2"/>
      <c r="RH56" s="2"/>
      <c r="RI56" s="2"/>
      <c r="RJ56" s="2"/>
      <c r="RK56" s="2"/>
      <c r="RL56" s="2"/>
      <c r="RM56" s="2"/>
      <c r="RN56" s="2"/>
      <c r="RO56" s="2"/>
      <c r="RP56" s="2"/>
      <c r="RQ56" s="2"/>
      <c r="RR56" s="2"/>
      <c r="RS56" s="2"/>
      <c r="RT56" s="2"/>
      <c r="RU56" s="2"/>
      <c r="RV56" s="2"/>
      <c r="RW56" s="2"/>
      <c r="RX56" s="2"/>
      <c r="RY56" s="2"/>
      <c r="RZ56" s="2"/>
      <c r="SA56" s="2"/>
      <c r="SB56" s="2"/>
      <c r="SC56" s="2"/>
      <c r="SD56" s="2"/>
      <c r="SE56" s="2"/>
      <c r="SF56" s="2"/>
      <c r="SG56" s="2"/>
      <c r="SH56" s="2"/>
      <c r="SI56" s="2"/>
      <c r="SJ56" s="2"/>
      <c r="SK56" s="2"/>
      <c r="SL56" s="2"/>
      <c r="SM56" s="2"/>
      <c r="SN56" s="2"/>
      <c r="SO56" s="2"/>
      <c r="SP56" s="2"/>
      <c r="SQ56" s="2"/>
      <c r="SR56" s="2"/>
      <c r="SS56" s="2"/>
      <c r="ST56" s="2"/>
      <c r="SU56" s="2"/>
      <c r="SV56" s="2"/>
      <c r="SW56" s="2"/>
      <c r="SX56" s="2"/>
      <c r="SY56" s="2"/>
      <c r="SZ56" s="2"/>
      <c r="TA56" s="2"/>
      <c r="TB56" s="2"/>
      <c r="TC56" s="2"/>
      <c r="TD56" s="2"/>
      <c r="TE56" s="2"/>
      <c r="TF56" s="2"/>
      <c r="TG56" s="2"/>
      <c r="TH56" s="2"/>
      <c r="TI56" s="2"/>
      <c r="TJ56" s="2"/>
      <c r="TK56" s="2"/>
      <c r="TL56" s="2"/>
      <c r="TM56" s="2"/>
      <c r="TN56" s="2"/>
      <c r="TO56" s="2"/>
      <c r="TP56" s="2"/>
      <c r="TQ56" s="2"/>
      <c r="TR56" s="2"/>
      <c r="TS56" s="2"/>
      <c r="TT56" s="2"/>
      <c r="TU56" s="2"/>
      <c r="TV56" s="2"/>
      <c r="TW56" s="2"/>
      <c r="TX56" s="2"/>
      <c r="TY56" s="2"/>
      <c r="TZ56" s="2"/>
      <c r="UA56" s="2"/>
      <c r="UB56" s="2"/>
      <c r="UC56" s="2"/>
      <c r="UD56" s="2"/>
      <c r="UE56" s="2"/>
      <c r="UF56" s="2"/>
      <c r="UG56" s="2"/>
      <c r="UH56" s="2"/>
      <c r="UI56" s="2"/>
      <c r="UJ56" s="2"/>
      <c r="UK56" s="2"/>
      <c r="UL56" s="2"/>
      <c r="UM56" s="2"/>
      <c r="UN56" s="2"/>
      <c r="UO56" s="2"/>
      <c r="UP56" s="2"/>
      <c r="UQ56" s="2"/>
      <c r="UR56" s="2"/>
      <c r="US56" s="2"/>
      <c r="UT56" s="2"/>
      <c r="UU56" s="2"/>
      <c r="UV56" s="2"/>
      <c r="UW56" s="2"/>
      <c r="UX56" s="2"/>
      <c r="UY56" s="2"/>
      <c r="UZ56" s="2"/>
      <c r="VA56" s="2"/>
      <c r="VB56" s="2"/>
      <c r="VC56" s="2"/>
      <c r="VD56" s="2"/>
      <c r="VE56" s="2"/>
      <c r="VF56" s="2"/>
      <c r="VG56" s="2"/>
      <c r="VH56" s="2"/>
      <c r="VI56" s="2"/>
      <c r="VJ56" s="2"/>
      <c r="VK56" s="2"/>
      <c r="VL56" s="2"/>
      <c r="VM56" s="2"/>
      <c r="VN56" s="2"/>
      <c r="VO56" s="2"/>
      <c r="VP56" s="2"/>
      <c r="VQ56" s="2"/>
      <c r="VR56" s="2"/>
      <c r="VS56" s="2"/>
      <c r="VT56" s="2"/>
      <c r="VU56" s="2"/>
      <c r="VV56" s="2"/>
      <c r="VW56" s="2"/>
      <c r="VX56" s="2"/>
      <c r="VY56" s="2"/>
      <c r="VZ56" s="2"/>
      <c r="WA56" s="2"/>
      <c r="WB56" s="2"/>
      <c r="WC56" s="2"/>
      <c r="WD56" s="2"/>
      <c r="WE56" s="2"/>
      <c r="WF56" s="2"/>
      <c r="WG56" s="2"/>
      <c r="WH56" s="2"/>
      <c r="WI56" s="2"/>
      <c r="WJ56" s="2"/>
      <c r="WK56" s="2"/>
      <c r="WL56" s="2"/>
      <c r="WM56" s="2"/>
      <c r="WN56" s="2"/>
      <c r="WO56" s="2"/>
      <c r="WP56" s="2"/>
      <c r="WQ56" s="2"/>
      <c r="WR56" s="2"/>
      <c r="WS56" s="2"/>
      <c r="WT56" s="2"/>
      <c r="WU56" s="2"/>
      <c r="WV56" s="2"/>
      <c r="WW56" s="2"/>
      <c r="WX56" s="2"/>
      <c r="WY56" s="2"/>
      <c r="WZ56" s="2"/>
      <c r="XA56" s="2"/>
      <c r="XB56" s="2"/>
      <c r="XC56" s="2"/>
      <c r="XD56" s="2"/>
      <c r="XE56" s="2"/>
      <c r="XF56" s="2"/>
      <c r="XG56" s="2"/>
      <c r="XH56" s="2"/>
      <c r="XI56" s="2"/>
      <c r="XJ56" s="2"/>
      <c r="XK56" s="2"/>
      <c r="XL56" s="2"/>
      <c r="XM56" s="2"/>
      <c r="XN56" s="2"/>
      <c r="XO56" s="2"/>
      <c r="XP56" s="2"/>
      <c r="XQ56" s="2"/>
      <c r="XR56" s="2"/>
      <c r="XS56" s="2"/>
      <c r="XT56" s="2"/>
      <c r="XU56" s="2"/>
      <c r="XV56" s="2"/>
      <c r="XW56" s="2"/>
      <c r="XX56" s="2"/>
      <c r="XY56" s="2"/>
      <c r="XZ56" s="2"/>
      <c r="YA56" s="2"/>
      <c r="YB56" s="2"/>
      <c r="YC56" s="2"/>
      <c r="YD56" s="2"/>
      <c r="YE56" s="2"/>
      <c r="YF56" s="2"/>
      <c r="YG56" s="2"/>
      <c r="YH56" s="2"/>
      <c r="YI56" s="2"/>
      <c r="YJ56" s="2"/>
      <c r="YK56" s="2"/>
      <c r="YL56" s="2"/>
      <c r="YM56" s="2"/>
      <c r="YN56" s="2"/>
      <c r="YO56" s="2"/>
      <c r="YP56" s="2"/>
      <c r="YQ56" s="2"/>
      <c r="YR56" s="2"/>
      <c r="YS56" s="2"/>
      <c r="YT56" s="2"/>
      <c r="YU56" s="2"/>
      <c r="YV56" s="2"/>
      <c r="YW56" s="2"/>
      <c r="YX56" s="2"/>
      <c r="YY56" s="2"/>
      <c r="YZ56" s="2"/>
      <c r="ZA56" s="2"/>
      <c r="ZB56" s="2"/>
      <c r="ZC56" s="2"/>
      <c r="ZD56" s="2"/>
      <c r="ZE56" s="2"/>
      <c r="ZF56" s="2"/>
      <c r="ZG56" s="2"/>
      <c r="ZH56" s="2"/>
      <c r="ZI56" s="2"/>
      <c r="ZJ56" s="2"/>
      <c r="ZK56" s="2"/>
      <c r="ZL56" s="2"/>
      <c r="ZM56" s="2"/>
      <c r="ZN56" s="2"/>
      <c r="ZO56" s="2"/>
      <c r="ZP56" s="2"/>
      <c r="ZQ56" s="2"/>
      <c r="ZR56" s="2"/>
      <c r="ZS56" s="2"/>
      <c r="ZT56" s="2"/>
      <c r="ZU56" s="2"/>
      <c r="ZV56" s="2"/>
      <c r="ZW56" s="2"/>
      <c r="ZX56" s="2"/>
      <c r="ZY56" s="2"/>
      <c r="ZZ56" s="2"/>
      <c r="AAA56" s="2"/>
      <c r="AAB56" s="2"/>
      <c r="AAC56" s="2"/>
      <c r="AAD56" s="2"/>
      <c r="AAE56" s="2"/>
      <c r="AAF56" s="2"/>
      <c r="AAG56" s="2"/>
      <c r="AAH56" s="2"/>
      <c r="AAI56" s="2"/>
      <c r="AAJ56" s="2"/>
      <c r="AAK56" s="2"/>
      <c r="AAL56" s="2"/>
      <c r="AAM56" s="2"/>
      <c r="AAN56" s="2"/>
      <c r="AAO56" s="2"/>
      <c r="AAP56" s="2"/>
      <c r="AAQ56" s="2"/>
      <c r="AAR56" s="2"/>
      <c r="AAS56" s="2"/>
      <c r="AAT56" s="2"/>
      <c r="AAU56" s="2"/>
      <c r="AAV56" s="2"/>
      <c r="AAW56" s="2"/>
      <c r="AAX56" s="2"/>
      <c r="AAY56" s="2"/>
      <c r="AAZ56" s="2"/>
      <c r="ABA56" s="2"/>
      <c r="ABB56" s="2"/>
      <c r="ABC56" s="2"/>
      <c r="ABD56" s="2"/>
      <c r="ABE56" s="2"/>
      <c r="ABF56" s="2"/>
      <c r="ABG56" s="2"/>
      <c r="ABH56" s="2"/>
      <c r="ABI56" s="2"/>
      <c r="ABJ56" s="2"/>
      <c r="ABK56" s="2"/>
      <c r="ABL56" s="2"/>
      <c r="ABM56" s="2"/>
      <c r="ABN56" s="2"/>
      <c r="ABO56" s="2"/>
      <c r="ABP56" s="2"/>
      <c r="ABQ56" s="2"/>
      <c r="ABR56" s="2"/>
      <c r="ABS56" s="2"/>
      <c r="ABT56" s="2"/>
      <c r="ABU56" s="2"/>
      <c r="ABV56" s="2"/>
      <c r="ABW56" s="2"/>
      <c r="ABX56" s="2"/>
      <c r="ABY56" s="2"/>
      <c r="ABZ56" s="2"/>
      <c r="ACA56" s="2"/>
      <c r="ACB56" s="2"/>
      <c r="ACC56" s="2"/>
      <c r="ACD56" s="2"/>
      <c r="ACE56" s="2"/>
      <c r="ACF56" s="2"/>
      <c r="ACG56" s="2"/>
      <c r="ACH56" s="2"/>
      <c r="ACI56" s="2"/>
      <c r="ACJ56" s="2"/>
      <c r="ACK56" s="2"/>
      <c r="ACL56" s="2"/>
      <c r="ACM56" s="2"/>
      <c r="ACN56" s="2"/>
      <c r="ACO56" s="2"/>
      <c r="ACP56" s="2"/>
      <c r="ACQ56" s="2"/>
      <c r="ACR56" s="2"/>
      <c r="ACS56" s="2"/>
      <c r="ACT56" s="2"/>
      <c r="ACU56" s="2"/>
      <c r="ACV56" s="2"/>
      <c r="ACW56" s="2"/>
      <c r="ACX56" s="2"/>
      <c r="ACY56" s="2"/>
      <c r="ACZ56" s="2"/>
      <c r="ADA56" s="2"/>
      <c r="ADB56" s="2"/>
      <c r="ADC56" s="2"/>
      <c r="ADD56" s="2"/>
      <c r="ADE56" s="2"/>
      <c r="ADF56" s="2"/>
      <c r="ADG56" s="2"/>
      <c r="ADH56" s="2"/>
      <c r="ADI56" s="2"/>
      <c r="ADJ56" s="2"/>
      <c r="ADK56" s="2"/>
      <c r="ADL56" s="2"/>
      <c r="ADM56" s="2"/>
      <c r="ADN56" s="2"/>
      <c r="ADO56" s="2"/>
      <c r="ADP56" s="2"/>
      <c r="ADQ56" s="2"/>
      <c r="ADR56" s="2"/>
      <c r="ADS56" s="2"/>
      <c r="ADT56" s="2"/>
      <c r="ADU56" s="2"/>
      <c r="ADV56" s="2"/>
      <c r="ADW56" s="2"/>
      <c r="ADX56" s="2"/>
      <c r="ADY56" s="2"/>
      <c r="ADZ56" s="2"/>
      <c r="AEA56" s="2"/>
      <c r="AEB56" s="2"/>
      <c r="AEC56" s="2"/>
      <c r="AED56" s="2"/>
      <c r="AEE56" s="2"/>
      <c r="AEF56" s="2"/>
      <c r="AEG56" s="2"/>
      <c r="AEH56" s="2"/>
      <c r="AEI56" s="2"/>
      <c r="AEJ56" s="2"/>
      <c r="AEK56" s="2"/>
      <c r="AEL56" s="2"/>
      <c r="AEM56" s="2"/>
      <c r="AEN56" s="2"/>
      <c r="AEO56" s="2"/>
      <c r="AEP56" s="2"/>
      <c r="AEQ56" s="2"/>
      <c r="AER56" s="2"/>
      <c r="AES56" s="2"/>
      <c r="AET56" s="2"/>
      <c r="AEU56" s="2"/>
      <c r="AEV56" s="2"/>
      <c r="AEW56" s="2"/>
      <c r="AEX56" s="2"/>
      <c r="AEY56" s="2"/>
      <c r="AEZ56" s="2"/>
      <c r="AFA56" s="2"/>
      <c r="AFB56" s="2"/>
      <c r="AFC56" s="2"/>
      <c r="AFD56" s="2"/>
      <c r="AFE56" s="2"/>
      <c r="AFF56" s="2"/>
      <c r="AFG56" s="2"/>
      <c r="AFH56" s="2"/>
      <c r="AFI56" s="2"/>
      <c r="AFJ56" s="2"/>
      <c r="AFK56" s="2"/>
      <c r="AFL56" s="2"/>
      <c r="AFM56" s="2"/>
      <c r="AFN56" s="2"/>
      <c r="AFO56" s="2"/>
      <c r="AFP56" s="2"/>
      <c r="AFQ56" s="2"/>
      <c r="AFR56" s="2"/>
      <c r="AFS56" s="2"/>
      <c r="AFT56" s="2"/>
      <c r="AFU56" s="2"/>
      <c r="AFV56" s="2"/>
      <c r="AFW56" s="2"/>
      <c r="AFX56" s="2"/>
      <c r="AFY56" s="2"/>
      <c r="AFZ56" s="2"/>
      <c r="AGA56" s="2"/>
      <c r="AGB56" s="2"/>
      <c r="AGC56" s="2"/>
      <c r="AGD56" s="2"/>
      <c r="AGE56" s="2"/>
      <c r="AGF56" s="2"/>
      <c r="AGG56" s="2"/>
      <c r="AGH56" s="2"/>
      <c r="AGI56" s="2"/>
      <c r="AGJ56" s="2"/>
      <c r="AGK56" s="2"/>
      <c r="AGL56" s="2"/>
      <c r="AGM56" s="2"/>
      <c r="AGN56" s="2"/>
      <c r="AGO56" s="2"/>
      <c r="AGP56" s="2"/>
      <c r="AGQ56" s="2"/>
      <c r="AGR56" s="2"/>
      <c r="AGS56" s="2"/>
      <c r="AGT56" s="2"/>
      <c r="AGU56" s="2"/>
      <c r="AGV56" s="2"/>
      <c r="AGW56" s="2"/>
      <c r="AGX56" s="2"/>
      <c r="AGY56" s="2"/>
      <c r="AGZ56" s="2"/>
      <c r="AHA56" s="2"/>
      <c r="AHB56" s="2"/>
      <c r="AHC56" s="2"/>
      <c r="AHD56" s="2"/>
      <c r="AHE56" s="2"/>
      <c r="AHF56" s="2"/>
      <c r="AHG56" s="2"/>
      <c r="AHH56" s="2"/>
      <c r="AHI56" s="2"/>
      <c r="AHJ56" s="2"/>
      <c r="AHK56" s="2"/>
      <c r="AHL56" s="2"/>
      <c r="AHM56" s="2"/>
      <c r="AHN56" s="2"/>
      <c r="AHO56" s="2"/>
      <c r="AHP56" s="2"/>
      <c r="AHQ56" s="2"/>
      <c r="AHR56" s="2"/>
      <c r="AHS56" s="2"/>
      <c r="AHT56" s="2"/>
      <c r="AHU56" s="2"/>
      <c r="AHV56" s="2"/>
      <c r="AHW56" s="2"/>
      <c r="AHX56" s="2"/>
      <c r="AHY56" s="2"/>
      <c r="AHZ56" s="2"/>
      <c r="AIA56" s="2"/>
      <c r="AIB56" s="2"/>
      <c r="AIC56" s="2"/>
      <c r="AID56" s="2"/>
      <c r="AIE56" s="2"/>
      <c r="AIF56" s="2"/>
      <c r="AIG56" s="2"/>
      <c r="AIH56" s="2"/>
      <c r="AII56" s="2"/>
      <c r="AIJ56" s="2"/>
      <c r="AIK56" s="2"/>
      <c r="AIL56" s="2"/>
      <c r="AIM56" s="2"/>
      <c r="AIN56" s="2"/>
      <c r="AIO56" s="2"/>
      <c r="AIP56" s="2"/>
      <c r="AIQ56" s="2"/>
      <c r="AIR56" s="2"/>
      <c r="AIS56" s="2"/>
      <c r="AIT56" s="2"/>
      <c r="AIU56" s="2"/>
      <c r="AIV56" s="2"/>
      <c r="AIW56" s="2"/>
      <c r="AIX56" s="2"/>
      <c r="AIY56" s="2"/>
      <c r="AIZ56" s="2"/>
      <c r="AJA56" s="2"/>
      <c r="AJB56" s="2"/>
      <c r="AJC56" s="2"/>
      <c r="AJD56" s="2"/>
      <c r="AJE56" s="2"/>
      <c r="AJF56" s="2"/>
      <c r="AJG56" s="2"/>
      <c r="AJH56" s="2"/>
      <c r="AJI56" s="2"/>
      <c r="AJJ56" s="2"/>
      <c r="AJK56" s="2"/>
      <c r="AJL56" s="2"/>
      <c r="AJM56" s="2"/>
      <c r="AJN56" s="2"/>
      <c r="AJO56" s="2"/>
      <c r="AJP56" s="2"/>
      <c r="AJQ56" s="2"/>
      <c r="AJR56" s="2"/>
      <c r="AJS56" s="2"/>
      <c r="AJT56" s="2"/>
      <c r="AJU56" s="2"/>
      <c r="AJV56" s="2"/>
      <c r="AJW56" s="2"/>
      <c r="AJX56" s="2"/>
      <c r="AJY56" s="2"/>
      <c r="AJZ56" s="2"/>
    </row>
    <row r="57" spans="1:962">
      <c r="A57" s="16">
        <v>56</v>
      </c>
      <c r="B57" s="16">
        <v>1</v>
      </c>
      <c r="C57" s="16">
        <v>9.98</v>
      </c>
      <c r="D57" s="9">
        <v>5.23</v>
      </c>
      <c r="E57" s="9">
        <v>3.78</v>
      </c>
      <c r="F57" s="9">
        <v>0.28000000000000003</v>
      </c>
      <c r="G57" s="16">
        <v>310</v>
      </c>
      <c r="H57" s="17">
        <v>2</v>
      </c>
      <c r="I57" s="9">
        <f t="shared" si="0"/>
        <v>1.3835978835978837</v>
      </c>
      <c r="J57" s="9">
        <f t="shared" si="1"/>
        <v>7.4074074074074084E-2</v>
      </c>
      <c r="K57" s="9">
        <f t="shared" si="2"/>
        <v>82.010582010582013</v>
      </c>
      <c r="L57" s="9">
        <f t="shared" si="3"/>
        <v>428.91534391534401</v>
      </c>
      <c r="M57" s="16">
        <v>3</v>
      </c>
      <c r="N57" s="16" t="s">
        <v>30</v>
      </c>
      <c r="O57" s="9">
        <v>6.5</v>
      </c>
      <c r="P57" s="9">
        <v>9.98</v>
      </c>
      <c r="Q57" s="9">
        <v>5.23</v>
      </c>
      <c r="R57" s="9">
        <v>3.78</v>
      </c>
      <c r="S57" s="9">
        <v>0.28000000000000003</v>
      </c>
      <c r="T57" s="9">
        <v>0.69</v>
      </c>
      <c r="U57" s="9">
        <v>0.01</v>
      </c>
      <c r="V57" s="9">
        <v>0</v>
      </c>
      <c r="W57" s="18">
        <v>10.66</v>
      </c>
      <c r="X57" s="19">
        <v>153</v>
      </c>
      <c r="Y57" s="16">
        <v>0.49</v>
      </c>
      <c r="Z57" s="16">
        <v>310</v>
      </c>
      <c r="AA57" s="16">
        <v>0.3</v>
      </c>
      <c r="AB57" s="16">
        <v>3.2000000000000001E-2</v>
      </c>
      <c r="AC57" s="16">
        <v>166.1</v>
      </c>
      <c r="AD57" s="16">
        <v>4.72</v>
      </c>
      <c r="AE57" s="16">
        <v>128.5</v>
      </c>
      <c r="AF57" s="16">
        <v>2.4700000000000002</v>
      </c>
      <c r="AG57" s="16">
        <v>1.43</v>
      </c>
      <c r="AH57" s="16">
        <v>7.47</v>
      </c>
      <c r="AI57" s="16">
        <v>108.51</v>
      </c>
      <c r="AJ57" s="16">
        <v>31.7</v>
      </c>
      <c r="AK57" s="16">
        <v>50.1</v>
      </c>
      <c r="AL57" s="16">
        <v>75.23</v>
      </c>
      <c r="AM57" s="16">
        <v>35.4</v>
      </c>
      <c r="AN57" s="16">
        <v>1.0640000000000001</v>
      </c>
      <c r="AO57" s="16">
        <v>0.2</v>
      </c>
      <c r="AP57" s="16">
        <v>10</v>
      </c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  <c r="LB57" s="2"/>
      <c r="LC57" s="2"/>
      <c r="LD57" s="2"/>
      <c r="LE57" s="2"/>
      <c r="LF57" s="2"/>
      <c r="LG57" s="2"/>
      <c r="LH57" s="2"/>
      <c r="LI57" s="2"/>
      <c r="LJ57" s="2"/>
      <c r="LK57" s="2"/>
      <c r="LL57" s="2"/>
      <c r="LM57" s="2"/>
      <c r="LN57" s="2"/>
      <c r="LO57" s="2"/>
      <c r="LP57" s="2"/>
      <c r="LQ57" s="2"/>
      <c r="LR57" s="2"/>
      <c r="LS57" s="2"/>
      <c r="LT57" s="2"/>
      <c r="LU57" s="2"/>
      <c r="LV57" s="2"/>
      <c r="LW57" s="2"/>
      <c r="LX57" s="2"/>
      <c r="LY57" s="2"/>
      <c r="LZ57" s="2"/>
      <c r="MA57" s="2"/>
      <c r="MB57" s="2"/>
      <c r="MC57" s="2"/>
      <c r="MD57" s="2"/>
      <c r="ME57" s="2"/>
      <c r="MF57" s="2"/>
      <c r="MG57" s="2"/>
      <c r="MH57" s="2"/>
      <c r="MI57" s="2"/>
      <c r="MJ57" s="2"/>
      <c r="MK57" s="2"/>
      <c r="ML57" s="2"/>
      <c r="MM57" s="2"/>
      <c r="MN57" s="2"/>
      <c r="MO57" s="2"/>
      <c r="MP57" s="2"/>
      <c r="MQ57" s="2"/>
      <c r="MR57" s="2"/>
      <c r="MS57" s="2"/>
      <c r="MT57" s="2"/>
      <c r="MU57" s="2"/>
      <c r="MV57" s="2"/>
      <c r="MW57" s="2"/>
      <c r="MX57" s="2"/>
      <c r="MY57" s="2"/>
      <c r="MZ57" s="2"/>
      <c r="NA57" s="2"/>
      <c r="NB57" s="2"/>
      <c r="NC57" s="2"/>
      <c r="ND57" s="2"/>
      <c r="NE57" s="2"/>
      <c r="NF57" s="2"/>
      <c r="NG57" s="2"/>
      <c r="NH57" s="2"/>
      <c r="NI57" s="2"/>
      <c r="NJ57" s="2"/>
      <c r="NK57" s="2"/>
      <c r="NL57" s="2"/>
      <c r="NM57" s="2"/>
      <c r="NN57" s="2"/>
      <c r="NO57" s="2"/>
      <c r="NP57" s="2"/>
      <c r="NQ57" s="2"/>
      <c r="NR57" s="2"/>
      <c r="NS57" s="2"/>
      <c r="NT57" s="2"/>
      <c r="NU57" s="2"/>
      <c r="NV57" s="2"/>
      <c r="NW57" s="2"/>
      <c r="NX57" s="2"/>
      <c r="NY57" s="2"/>
      <c r="NZ57" s="2"/>
      <c r="OA57" s="2"/>
      <c r="OB57" s="2"/>
      <c r="OC57" s="2"/>
      <c r="OD57" s="2"/>
      <c r="OE57" s="2"/>
      <c r="OF57" s="2"/>
      <c r="OG57" s="2"/>
      <c r="OH57" s="2"/>
      <c r="OI57" s="2"/>
      <c r="OJ57" s="2"/>
      <c r="OK57" s="2"/>
      <c r="OL57" s="2"/>
      <c r="OM57" s="2"/>
      <c r="ON57" s="2"/>
      <c r="OO57" s="2"/>
      <c r="OP57" s="2"/>
      <c r="OQ57" s="2"/>
      <c r="OR57" s="2"/>
      <c r="OS57" s="2"/>
      <c r="OT57" s="2"/>
      <c r="OU57" s="2"/>
      <c r="OV57" s="2"/>
      <c r="OW57" s="2"/>
      <c r="OX57" s="2"/>
      <c r="OY57" s="2"/>
      <c r="OZ57" s="2"/>
      <c r="PA57" s="2"/>
      <c r="PB57" s="2"/>
      <c r="PC57" s="2"/>
      <c r="PD57" s="2"/>
      <c r="PE57" s="2"/>
      <c r="PF57" s="2"/>
      <c r="PG57" s="2"/>
      <c r="PH57" s="2"/>
      <c r="PI57" s="2"/>
      <c r="PJ57" s="2"/>
      <c r="PK57" s="2"/>
      <c r="PL57" s="2"/>
      <c r="PM57" s="2"/>
      <c r="PN57" s="2"/>
      <c r="PO57" s="2"/>
      <c r="PP57" s="2"/>
      <c r="PQ57" s="2"/>
      <c r="PR57" s="2"/>
      <c r="PS57" s="2"/>
      <c r="PT57" s="2"/>
      <c r="PU57" s="2"/>
      <c r="PV57" s="2"/>
      <c r="PW57" s="2"/>
      <c r="PX57" s="2"/>
      <c r="PY57" s="2"/>
      <c r="PZ57" s="2"/>
      <c r="QA57" s="2"/>
      <c r="QB57" s="2"/>
      <c r="QC57" s="2"/>
      <c r="QD57" s="2"/>
      <c r="QE57" s="2"/>
      <c r="QF57" s="2"/>
      <c r="QG57" s="2"/>
      <c r="QH57" s="2"/>
      <c r="QI57" s="2"/>
      <c r="QJ57" s="2"/>
      <c r="QK57" s="2"/>
      <c r="QL57" s="2"/>
      <c r="QM57" s="2"/>
      <c r="QN57" s="2"/>
      <c r="QO57" s="2"/>
      <c r="QP57" s="2"/>
      <c r="QQ57" s="2"/>
      <c r="QR57" s="2"/>
      <c r="QS57" s="2"/>
      <c r="QT57" s="2"/>
      <c r="QU57" s="2"/>
      <c r="QV57" s="2"/>
      <c r="QW57" s="2"/>
      <c r="QX57" s="2"/>
      <c r="QY57" s="2"/>
      <c r="QZ57" s="2"/>
      <c r="RA57" s="2"/>
      <c r="RB57" s="2"/>
      <c r="RC57" s="2"/>
      <c r="RD57" s="2"/>
      <c r="RE57" s="2"/>
      <c r="RF57" s="2"/>
      <c r="RG57" s="2"/>
      <c r="RH57" s="2"/>
      <c r="RI57" s="2"/>
      <c r="RJ57" s="2"/>
      <c r="RK57" s="2"/>
      <c r="RL57" s="2"/>
      <c r="RM57" s="2"/>
      <c r="RN57" s="2"/>
      <c r="RO57" s="2"/>
      <c r="RP57" s="2"/>
      <c r="RQ57" s="2"/>
      <c r="RR57" s="2"/>
      <c r="RS57" s="2"/>
      <c r="RT57" s="2"/>
      <c r="RU57" s="2"/>
      <c r="RV57" s="2"/>
      <c r="RW57" s="2"/>
      <c r="RX57" s="2"/>
      <c r="RY57" s="2"/>
      <c r="RZ57" s="2"/>
      <c r="SA57" s="2"/>
      <c r="SB57" s="2"/>
      <c r="SC57" s="2"/>
      <c r="SD57" s="2"/>
      <c r="SE57" s="2"/>
      <c r="SF57" s="2"/>
      <c r="SG57" s="2"/>
      <c r="SH57" s="2"/>
      <c r="SI57" s="2"/>
      <c r="SJ57" s="2"/>
      <c r="SK57" s="2"/>
      <c r="SL57" s="2"/>
      <c r="SM57" s="2"/>
      <c r="SN57" s="2"/>
      <c r="SO57" s="2"/>
      <c r="SP57" s="2"/>
      <c r="SQ57" s="2"/>
      <c r="SR57" s="2"/>
      <c r="SS57" s="2"/>
      <c r="ST57" s="2"/>
      <c r="SU57" s="2"/>
      <c r="SV57" s="2"/>
      <c r="SW57" s="2"/>
      <c r="SX57" s="2"/>
      <c r="SY57" s="2"/>
      <c r="SZ57" s="2"/>
      <c r="TA57" s="2"/>
      <c r="TB57" s="2"/>
      <c r="TC57" s="2"/>
      <c r="TD57" s="2"/>
      <c r="TE57" s="2"/>
      <c r="TF57" s="2"/>
      <c r="TG57" s="2"/>
      <c r="TH57" s="2"/>
      <c r="TI57" s="2"/>
      <c r="TJ57" s="2"/>
      <c r="TK57" s="2"/>
      <c r="TL57" s="2"/>
      <c r="TM57" s="2"/>
      <c r="TN57" s="2"/>
      <c r="TO57" s="2"/>
      <c r="TP57" s="2"/>
      <c r="TQ57" s="2"/>
      <c r="TR57" s="2"/>
      <c r="TS57" s="2"/>
      <c r="TT57" s="2"/>
      <c r="TU57" s="2"/>
      <c r="TV57" s="2"/>
      <c r="TW57" s="2"/>
      <c r="TX57" s="2"/>
      <c r="TY57" s="2"/>
      <c r="TZ57" s="2"/>
      <c r="UA57" s="2"/>
      <c r="UB57" s="2"/>
      <c r="UC57" s="2"/>
      <c r="UD57" s="2"/>
      <c r="UE57" s="2"/>
      <c r="UF57" s="2"/>
      <c r="UG57" s="2"/>
      <c r="UH57" s="2"/>
      <c r="UI57" s="2"/>
      <c r="UJ57" s="2"/>
      <c r="UK57" s="2"/>
      <c r="UL57" s="2"/>
      <c r="UM57" s="2"/>
      <c r="UN57" s="2"/>
      <c r="UO57" s="2"/>
      <c r="UP57" s="2"/>
      <c r="UQ57" s="2"/>
      <c r="UR57" s="2"/>
      <c r="US57" s="2"/>
      <c r="UT57" s="2"/>
      <c r="UU57" s="2"/>
      <c r="UV57" s="2"/>
      <c r="UW57" s="2"/>
      <c r="UX57" s="2"/>
      <c r="UY57" s="2"/>
      <c r="UZ57" s="2"/>
      <c r="VA57" s="2"/>
      <c r="VB57" s="2"/>
      <c r="VC57" s="2"/>
      <c r="VD57" s="2"/>
      <c r="VE57" s="2"/>
      <c r="VF57" s="2"/>
      <c r="VG57" s="2"/>
      <c r="VH57" s="2"/>
      <c r="VI57" s="2"/>
      <c r="VJ57" s="2"/>
      <c r="VK57" s="2"/>
      <c r="VL57" s="2"/>
      <c r="VM57" s="2"/>
      <c r="VN57" s="2"/>
      <c r="VO57" s="2"/>
      <c r="VP57" s="2"/>
      <c r="VQ57" s="2"/>
      <c r="VR57" s="2"/>
      <c r="VS57" s="2"/>
      <c r="VT57" s="2"/>
      <c r="VU57" s="2"/>
      <c r="VV57" s="2"/>
      <c r="VW57" s="2"/>
      <c r="VX57" s="2"/>
      <c r="VY57" s="2"/>
      <c r="VZ57" s="2"/>
      <c r="WA57" s="2"/>
      <c r="WB57" s="2"/>
      <c r="WC57" s="2"/>
      <c r="WD57" s="2"/>
      <c r="WE57" s="2"/>
      <c r="WF57" s="2"/>
      <c r="WG57" s="2"/>
      <c r="WH57" s="2"/>
      <c r="WI57" s="2"/>
      <c r="WJ57" s="2"/>
      <c r="WK57" s="2"/>
      <c r="WL57" s="2"/>
      <c r="WM57" s="2"/>
      <c r="WN57" s="2"/>
      <c r="WO57" s="2"/>
      <c r="WP57" s="2"/>
      <c r="WQ57" s="2"/>
      <c r="WR57" s="2"/>
      <c r="WS57" s="2"/>
      <c r="WT57" s="2"/>
      <c r="WU57" s="2"/>
      <c r="WV57" s="2"/>
      <c r="WW57" s="2"/>
      <c r="WX57" s="2"/>
      <c r="WY57" s="2"/>
      <c r="WZ57" s="2"/>
      <c r="XA57" s="2"/>
      <c r="XB57" s="2"/>
      <c r="XC57" s="2"/>
      <c r="XD57" s="2"/>
      <c r="XE57" s="2"/>
      <c r="XF57" s="2"/>
      <c r="XG57" s="2"/>
      <c r="XH57" s="2"/>
      <c r="XI57" s="2"/>
      <c r="XJ57" s="2"/>
      <c r="XK57" s="2"/>
      <c r="XL57" s="2"/>
      <c r="XM57" s="2"/>
      <c r="XN57" s="2"/>
      <c r="XO57" s="2"/>
      <c r="XP57" s="2"/>
      <c r="XQ57" s="2"/>
      <c r="XR57" s="2"/>
      <c r="XS57" s="2"/>
      <c r="XT57" s="2"/>
      <c r="XU57" s="2"/>
      <c r="XV57" s="2"/>
      <c r="XW57" s="2"/>
      <c r="XX57" s="2"/>
      <c r="XY57" s="2"/>
      <c r="XZ57" s="2"/>
      <c r="YA57" s="2"/>
      <c r="YB57" s="2"/>
      <c r="YC57" s="2"/>
      <c r="YD57" s="2"/>
      <c r="YE57" s="2"/>
      <c r="YF57" s="2"/>
      <c r="YG57" s="2"/>
      <c r="YH57" s="2"/>
      <c r="YI57" s="2"/>
      <c r="YJ57" s="2"/>
      <c r="YK57" s="2"/>
      <c r="YL57" s="2"/>
      <c r="YM57" s="2"/>
      <c r="YN57" s="2"/>
      <c r="YO57" s="2"/>
      <c r="YP57" s="2"/>
      <c r="YQ57" s="2"/>
      <c r="YR57" s="2"/>
      <c r="YS57" s="2"/>
      <c r="YT57" s="2"/>
      <c r="YU57" s="2"/>
      <c r="YV57" s="2"/>
      <c r="YW57" s="2"/>
      <c r="YX57" s="2"/>
      <c r="YY57" s="2"/>
      <c r="YZ57" s="2"/>
      <c r="ZA57" s="2"/>
      <c r="ZB57" s="2"/>
      <c r="ZC57" s="2"/>
      <c r="ZD57" s="2"/>
      <c r="ZE57" s="2"/>
      <c r="ZF57" s="2"/>
      <c r="ZG57" s="2"/>
      <c r="ZH57" s="2"/>
      <c r="ZI57" s="2"/>
      <c r="ZJ57" s="2"/>
      <c r="ZK57" s="2"/>
      <c r="ZL57" s="2"/>
      <c r="ZM57" s="2"/>
      <c r="ZN57" s="2"/>
      <c r="ZO57" s="2"/>
      <c r="ZP57" s="2"/>
      <c r="ZQ57" s="2"/>
      <c r="ZR57" s="2"/>
      <c r="ZS57" s="2"/>
      <c r="ZT57" s="2"/>
      <c r="ZU57" s="2"/>
      <c r="ZV57" s="2"/>
      <c r="ZW57" s="2"/>
      <c r="ZX57" s="2"/>
      <c r="ZY57" s="2"/>
      <c r="ZZ57" s="2"/>
      <c r="AAA57" s="2"/>
      <c r="AAB57" s="2"/>
      <c r="AAC57" s="2"/>
      <c r="AAD57" s="2"/>
      <c r="AAE57" s="2"/>
      <c r="AAF57" s="2"/>
      <c r="AAG57" s="2"/>
      <c r="AAH57" s="2"/>
      <c r="AAI57" s="2"/>
      <c r="AAJ57" s="2"/>
      <c r="AAK57" s="2"/>
      <c r="AAL57" s="2"/>
      <c r="AAM57" s="2"/>
      <c r="AAN57" s="2"/>
      <c r="AAO57" s="2"/>
      <c r="AAP57" s="2"/>
      <c r="AAQ57" s="2"/>
      <c r="AAR57" s="2"/>
      <c r="AAS57" s="2"/>
      <c r="AAT57" s="2"/>
      <c r="AAU57" s="2"/>
      <c r="AAV57" s="2"/>
      <c r="AAW57" s="2"/>
      <c r="AAX57" s="2"/>
      <c r="AAY57" s="2"/>
      <c r="AAZ57" s="2"/>
      <c r="ABA57" s="2"/>
      <c r="ABB57" s="2"/>
      <c r="ABC57" s="2"/>
      <c r="ABD57" s="2"/>
      <c r="ABE57" s="2"/>
      <c r="ABF57" s="2"/>
      <c r="ABG57" s="2"/>
      <c r="ABH57" s="2"/>
      <c r="ABI57" s="2"/>
      <c r="ABJ57" s="2"/>
      <c r="ABK57" s="2"/>
      <c r="ABL57" s="2"/>
      <c r="ABM57" s="2"/>
      <c r="ABN57" s="2"/>
      <c r="ABO57" s="2"/>
      <c r="ABP57" s="2"/>
      <c r="ABQ57" s="2"/>
      <c r="ABR57" s="2"/>
      <c r="ABS57" s="2"/>
      <c r="ABT57" s="2"/>
      <c r="ABU57" s="2"/>
      <c r="ABV57" s="2"/>
      <c r="ABW57" s="2"/>
      <c r="ABX57" s="2"/>
      <c r="ABY57" s="2"/>
      <c r="ABZ57" s="2"/>
      <c r="ACA57" s="2"/>
      <c r="ACB57" s="2"/>
      <c r="ACC57" s="2"/>
      <c r="ACD57" s="2"/>
      <c r="ACE57" s="2"/>
      <c r="ACF57" s="2"/>
      <c r="ACG57" s="2"/>
      <c r="ACH57" s="2"/>
      <c r="ACI57" s="2"/>
      <c r="ACJ57" s="2"/>
      <c r="ACK57" s="2"/>
      <c r="ACL57" s="2"/>
      <c r="ACM57" s="2"/>
      <c r="ACN57" s="2"/>
      <c r="ACO57" s="2"/>
      <c r="ACP57" s="2"/>
      <c r="ACQ57" s="2"/>
      <c r="ACR57" s="2"/>
      <c r="ACS57" s="2"/>
      <c r="ACT57" s="2"/>
      <c r="ACU57" s="2"/>
      <c r="ACV57" s="2"/>
      <c r="ACW57" s="2"/>
      <c r="ACX57" s="2"/>
      <c r="ACY57" s="2"/>
      <c r="ACZ57" s="2"/>
      <c r="ADA57" s="2"/>
      <c r="ADB57" s="2"/>
      <c r="ADC57" s="2"/>
      <c r="ADD57" s="2"/>
      <c r="ADE57" s="2"/>
      <c r="ADF57" s="2"/>
      <c r="ADG57" s="2"/>
      <c r="ADH57" s="2"/>
      <c r="ADI57" s="2"/>
      <c r="ADJ57" s="2"/>
      <c r="ADK57" s="2"/>
      <c r="ADL57" s="2"/>
      <c r="ADM57" s="2"/>
      <c r="ADN57" s="2"/>
      <c r="ADO57" s="2"/>
      <c r="ADP57" s="2"/>
      <c r="ADQ57" s="2"/>
      <c r="ADR57" s="2"/>
      <c r="ADS57" s="2"/>
      <c r="ADT57" s="2"/>
      <c r="ADU57" s="2"/>
      <c r="ADV57" s="2"/>
      <c r="ADW57" s="2"/>
      <c r="ADX57" s="2"/>
      <c r="ADY57" s="2"/>
      <c r="ADZ57" s="2"/>
      <c r="AEA57" s="2"/>
      <c r="AEB57" s="2"/>
      <c r="AEC57" s="2"/>
      <c r="AED57" s="2"/>
      <c r="AEE57" s="2"/>
      <c r="AEF57" s="2"/>
      <c r="AEG57" s="2"/>
      <c r="AEH57" s="2"/>
      <c r="AEI57" s="2"/>
      <c r="AEJ57" s="2"/>
      <c r="AEK57" s="2"/>
      <c r="AEL57" s="2"/>
      <c r="AEM57" s="2"/>
      <c r="AEN57" s="2"/>
      <c r="AEO57" s="2"/>
      <c r="AEP57" s="2"/>
      <c r="AEQ57" s="2"/>
      <c r="AER57" s="2"/>
      <c r="AES57" s="2"/>
      <c r="AET57" s="2"/>
      <c r="AEU57" s="2"/>
      <c r="AEV57" s="2"/>
      <c r="AEW57" s="2"/>
      <c r="AEX57" s="2"/>
      <c r="AEY57" s="2"/>
      <c r="AEZ57" s="2"/>
      <c r="AFA57" s="2"/>
      <c r="AFB57" s="2"/>
      <c r="AFC57" s="2"/>
      <c r="AFD57" s="2"/>
      <c r="AFE57" s="2"/>
      <c r="AFF57" s="2"/>
      <c r="AFG57" s="2"/>
      <c r="AFH57" s="2"/>
      <c r="AFI57" s="2"/>
      <c r="AFJ57" s="2"/>
      <c r="AFK57" s="2"/>
      <c r="AFL57" s="2"/>
      <c r="AFM57" s="2"/>
      <c r="AFN57" s="2"/>
      <c r="AFO57" s="2"/>
      <c r="AFP57" s="2"/>
      <c r="AFQ57" s="2"/>
      <c r="AFR57" s="2"/>
      <c r="AFS57" s="2"/>
      <c r="AFT57" s="2"/>
      <c r="AFU57" s="2"/>
      <c r="AFV57" s="2"/>
      <c r="AFW57" s="2"/>
      <c r="AFX57" s="2"/>
      <c r="AFY57" s="2"/>
      <c r="AFZ57" s="2"/>
      <c r="AGA57" s="2"/>
      <c r="AGB57" s="2"/>
      <c r="AGC57" s="2"/>
      <c r="AGD57" s="2"/>
      <c r="AGE57" s="2"/>
      <c r="AGF57" s="2"/>
      <c r="AGG57" s="2"/>
      <c r="AGH57" s="2"/>
      <c r="AGI57" s="2"/>
      <c r="AGJ57" s="2"/>
      <c r="AGK57" s="2"/>
      <c r="AGL57" s="2"/>
      <c r="AGM57" s="2"/>
      <c r="AGN57" s="2"/>
      <c r="AGO57" s="2"/>
      <c r="AGP57" s="2"/>
      <c r="AGQ57" s="2"/>
      <c r="AGR57" s="2"/>
      <c r="AGS57" s="2"/>
      <c r="AGT57" s="2"/>
      <c r="AGU57" s="2"/>
      <c r="AGV57" s="2"/>
      <c r="AGW57" s="2"/>
      <c r="AGX57" s="2"/>
      <c r="AGY57" s="2"/>
      <c r="AGZ57" s="2"/>
      <c r="AHA57" s="2"/>
      <c r="AHB57" s="2"/>
      <c r="AHC57" s="2"/>
      <c r="AHD57" s="2"/>
      <c r="AHE57" s="2"/>
      <c r="AHF57" s="2"/>
      <c r="AHG57" s="2"/>
      <c r="AHH57" s="2"/>
      <c r="AHI57" s="2"/>
      <c r="AHJ57" s="2"/>
      <c r="AHK57" s="2"/>
      <c r="AHL57" s="2"/>
      <c r="AHM57" s="2"/>
      <c r="AHN57" s="2"/>
      <c r="AHO57" s="2"/>
      <c r="AHP57" s="2"/>
      <c r="AHQ57" s="2"/>
      <c r="AHR57" s="2"/>
      <c r="AHS57" s="2"/>
      <c r="AHT57" s="2"/>
      <c r="AHU57" s="2"/>
      <c r="AHV57" s="2"/>
      <c r="AHW57" s="2"/>
      <c r="AHX57" s="2"/>
      <c r="AHY57" s="2"/>
      <c r="AHZ57" s="2"/>
      <c r="AIA57" s="2"/>
      <c r="AIB57" s="2"/>
      <c r="AIC57" s="2"/>
      <c r="AID57" s="2"/>
      <c r="AIE57" s="2"/>
      <c r="AIF57" s="2"/>
      <c r="AIG57" s="2"/>
      <c r="AIH57" s="2"/>
      <c r="AII57" s="2"/>
      <c r="AIJ57" s="2"/>
      <c r="AIK57" s="2"/>
      <c r="AIL57" s="2"/>
      <c r="AIM57" s="2"/>
      <c r="AIN57" s="2"/>
      <c r="AIO57" s="2"/>
      <c r="AIP57" s="2"/>
      <c r="AIQ57" s="2"/>
      <c r="AIR57" s="2"/>
      <c r="AIS57" s="2"/>
      <c r="AIT57" s="2"/>
      <c r="AIU57" s="2"/>
      <c r="AIV57" s="2"/>
      <c r="AIW57" s="2"/>
      <c r="AIX57" s="2"/>
      <c r="AIY57" s="2"/>
      <c r="AIZ57" s="2"/>
      <c r="AJA57" s="2"/>
      <c r="AJB57" s="2"/>
      <c r="AJC57" s="2"/>
      <c r="AJD57" s="2"/>
      <c r="AJE57" s="2"/>
      <c r="AJF57" s="2"/>
      <c r="AJG57" s="2"/>
      <c r="AJH57" s="2"/>
      <c r="AJI57" s="2"/>
      <c r="AJJ57" s="2"/>
      <c r="AJK57" s="2"/>
      <c r="AJL57" s="2"/>
      <c r="AJM57" s="2"/>
      <c r="AJN57" s="2"/>
      <c r="AJO57" s="2"/>
      <c r="AJP57" s="2"/>
      <c r="AJQ57" s="2"/>
      <c r="AJR57" s="2"/>
      <c r="AJS57" s="2"/>
      <c r="AJT57" s="2"/>
      <c r="AJU57" s="2"/>
      <c r="AJV57" s="2"/>
      <c r="AJW57" s="2"/>
      <c r="AJX57" s="2"/>
      <c r="AJY57" s="2"/>
      <c r="AJZ57" s="2"/>
    </row>
    <row r="58" spans="1:962">
      <c r="A58" s="16">
        <v>57</v>
      </c>
      <c r="B58" s="16">
        <v>1</v>
      </c>
      <c r="C58" s="16">
        <v>9.69</v>
      </c>
      <c r="D58" s="9">
        <v>3.33</v>
      </c>
      <c r="E58" s="9">
        <v>5.34</v>
      </c>
      <c r="F58" s="9">
        <v>0.31</v>
      </c>
      <c r="G58" s="16">
        <v>97</v>
      </c>
      <c r="H58" s="17">
        <v>2</v>
      </c>
      <c r="I58" s="9">
        <f t="shared" si="0"/>
        <v>0.62359550561797761</v>
      </c>
      <c r="J58" s="9">
        <f t="shared" si="1"/>
        <v>5.8052434456928842E-2</v>
      </c>
      <c r="K58" s="9">
        <f t="shared" si="2"/>
        <v>18.164794007490638</v>
      </c>
      <c r="L58" s="9">
        <f t="shared" si="3"/>
        <v>60.488764044943821</v>
      </c>
      <c r="M58" s="16">
        <v>9</v>
      </c>
      <c r="N58" s="16" t="s">
        <v>30</v>
      </c>
      <c r="O58" s="9">
        <v>5.0599999999999996</v>
      </c>
      <c r="P58" s="9">
        <v>9.69</v>
      </c>
      <c r="Q58" s="9">
        <v>3.33</v>
      </c>
      <c r="R58" s="9">
        <v>5.34</v>
      </c>
      <c r="S58" s="9">
        <v>0.31</v>
      </c>
      <c r="T58" s="9">
        <v>0.31</v>
      </c>
      <c r="U58" s="9">
        <v>0.01</v>
      </c>
      <c r="V58" s="9">
        <v>0.05</v>
      </c>
      <c r="W58" s="18">
        <v>8.31</v>
      </c>
      <c r="X58" s="19">
        <v>132</v>
      </c>
      <c r="Y58" s="16">
        <v>0.42</v>
      </c>
      <c r="Z58" s="16">
        <v>97</v>
      </c>
      <c r="AA58" s="16">
        <v>0.7</v>
      </c>
      <c r="AB58" s="16">
        <v>6.2E-2</v>
      </c>
      <c r="AC58" s="16">
        <v>157.1</v>
      </c>
      <c r="AD58" s="16">
        <v>4.54</v>
      </c>
      <c r="AE58" s="16">
        <v>120.6</v>
      </c>
      <c r="AF58" s="16">
        <v>2.99</v>
      </c>
      <c r="AG58" s="16">
        <v>1.07</v>
      </c>
      <c r="AH58" s="16">
        <v>8.7200000000000006</v>
      </c>
      <c r="AI58" s="16">
        <v>133.18</v>
      </c>
      <c r="AJ58" s="16">
        <v>15.3</v>
      </c>
      <c r="AK58" s="16">
        <v>42.3</v>
      </c>
      <c r="AL58" s="16">
        <v>72.72</v>
      </c>
      <c r="AM58" s="16">
        <v>29.77</v>
      </c>
      <c r="AN58" s="16">
        <v>1.0820000000000001</v>
      </c>
      <c r="AO58" s="16">
        <v>9.7000000000000003E-2</v>
      </c>
      <c r="AP58" s="16">
        <v>7</v>
      </c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  <c r="LB58" s="2"/>
      <c r="LC58" s="2"/>
      <c r="LD58" s="2"/>
      <c r="LE58" s="2"/>
      <c r="LF58" s="2"/>
      <c r="LG58" s="2"/>
      <c r="LH58" s="2"/>
      <c r="LI58" s="2"/>
      <c r="LJ58" s="2"/>
      <c r="LK58" s="2"/>
      <c r="LL58" s="2"/>
      <c r="LM58" s="2"/>
      <c r="LN58" s="2"/>
      <c r="LO58" s="2"/>
      <c r="LP58" s="2"/>
      <c r="LQ58" s="2"/>
      <c r="LR58" s="2"/>
      <c r="LS58" s="2"/>
      <c r="LT58" s="2"/>
      <c r="LU58" s="2"/>
      <c r="LV58" s="2"/>
      <c r="LW58" s="2"/>
      <c r="LX58" s="2"/>
      <c r="LY58" s="2"/>
      <c r="LZ58" s="2"/>
      <c r="MA58" s="2"/>
      <c r="MB58" s="2"/>
      <c r="MC58" s="2"/>
      <c r="MD58" s="2"/>
      <c r="ME58" s="2"/>
      <c r="MF58" s="2"/>
      <c r="MG58" s="2"/>
      <c r="MH58" s="2"/>
      <c r="MI58" s="2"/>
      <c r="MJ58" s="2"/>
      <c r="MK58" s="2"/>
      <c r="ML58" s="2"/>
      <c r="MM58" s="2"/>
      <c r="MN58" s="2"/>
      <c r="MO58" s="2"/>
      <c r="MP58" s="2"/>
      <c r="MQ58" s="2"/>
      <c r="MR58" s="2"/>
      <c r="MS58" s="2"/>
      <c r="MT58" s="2"/>
      <c r="MU58" s="2"/>
      <c r="MV58" s="2"/>
      <c r="MW58" s="2"/>
      <c r="MX58" s="2"/>
      <c r="MY58" s="2"/>
      <c r="MZ58" s="2"/>
      <c r="NA58" s="2"/>
      <c r="NB58" s="2"/>
      <c r="NC58" s="2"/>
      <c r="ND58" s="2"/>
      <c r="NE58" s="2"/>
      <c r="NF58" s="2"/>
      <c r="NG58" s="2"/>
      <c r="NH58" s="2"/>
      <c r="NI58" s="2"/>
      <c r="NJ58" s="2"/>
      <c r="NK58" s="2"/>
      <c r="NL58" s="2"/>
      <c r="NM58" s="2"/>
      <c r="NN58" s="2"/>
      <c r="NO58" s="2"/>
      <c r="NP58" s="2"/>
      <c r="NQ58" s="2"/>
      <c r="NR58" s="2"/>
      <c r="NS58" s="2"/>
      <c r="NT58" s="2"/>
      <c r="NU58" s="2"/>
      <c r="NV58" s="2"/>
      <c r="NW58" s="2"/>
      <c r="NX58" s="2"/>
      <c r="NY58" s="2"/>
      <c r="NZ58" s="2"/>
      <c r="OA58" s="2"/>
      <c r="OB58" s="2"/>
      <c r="OC58" s="2"/>
      <c r="OD58" s="2"/>
      <c r="OE58" s="2"/>
      <c r="OF58" s="2"/>
      <c r="OG58" s="2"/>
      <c r="OH58" s="2"/>
      <c r="OI58" s="2"/>
      <c r="OJ58" s="2"/>
      <c r="OK58" s="2"/>
      <c r="OL58" s="2"/>
      <c r="OM58" s="2"/>
      <c r="ON58" s="2"/>
      <c r="OO58" s="2"/>
      <c r="OP58" s="2"/>
      <c r="OQ58" s="2"/>
      <c r="OR58" s="2"/>
      <c r="OS58" s="2"/>
      <c r="OT58" s="2"/>
      <c r="OU58" s="2"/>
      <c r="OV58" s="2"/>
      <c r="OW58" s="2"/>
      <c r="OX58" s="2"/>
      <c r="OY58" s="2"/>
      <c r="OZ58" s="2"/>
      <c r="PA58" s="2"/>
      <c r="PB58" s="2"/>
      <c r="PC58" s="2"/>
      <c r="PD58" s="2"/>
      <c r="PE58" s="2"/>
      <c r="PF58" s="2"/>
      <c r="PG58" s="2"/>
      <c r="PH58" s="2"/>
      <c r="PI58" s="2"/>
      <c r="PJ58" s="2"/>
      <c r="PK58" s="2"/>
      <c r="PL58" s="2"/>
      <c r="PM58" s="2"/>
      <c r="PN58" s="2"/>
      <c r="PO58" s="2"/>
      <c r="PP58" s="2"/>
      <c r="PQ58" s="2"/>
      <c r="PR58" s="2"/>
      <c r="PS58" s="2"/>
      <c r="PT58" s="2"/>
      <c r="PU58" s="2"/>
      <c r="PV58" s="2"/>
      <c r="PW58" s="2"/>
      <c r="PX58" s="2"/>
      <c r="PY58" s="2"/>
      <c r="PZ58" s="2"/>
      <c r="QA58" s="2"/>
      <c r="QB58" s="2"/>
      <c r="QC58" s="2"/>
      <c r="QD58" s="2"/>
      <c r="QE58" s="2"/>
      <c r="QF58" s="2"/>
      <c r="QG58" s="2"/>
      <c r="QH58" s="2"/>
      <c r="QI58" s="2"/>
      <c r="QJ58" s="2"/>
      <c r="QK58" s="2"/>
      <c r="QL58" s="2"/>
      <c r="QM58" s="2"/>
      <c r="QN58" s="2"/>
      <c r="QO58" s="2"/>
      <c r="QP58" s="2"/>
      <c r="QQ58" s="2"/>
      <c r="QR58" s="2"/>
      <c r="QS58" s="2"/>
      <c r="QT58" s="2"/>
      <c r="QU58" s="2"/>
      <c r="QV58" s="2"/>
      <c r="QW58" s="2"/>
      <c r="QX58" s="2"/>
      <c r="QY58" s="2"/>
      <c r="QZ58" s="2"/>
      <c r="RA58" s="2"/>
      <c r="RB58" s="2"/>
      <c r="RC58" s="2"/>
      <c r="RD58" s="2"/>
      <c r="RE58" s="2"/>
      <c r="RF58" s="2"/>
      <c r="RG58" s="2"/>
      <c r="RH58" s="2"/>
      <c r="RI58" s="2"/>
      <c r="RJ58" s="2"/>
      <c r="RK58" s="2"/>
      <c r="RL58" s="2"/>
      <c r="RM58" s="2"/>
      <c r="RN58" s="2"/>
      <c r="RO58" s="2"/>
      <c r="RP58" s="2"/>
      <c r="RQ58" s="2"/>
      <c r="RR58" s="2"/>
      <c r="RS58" s="2"/>
      <c r="RT58" s="2"/>
      <c r="RU58" s="2"/>
      <c r="RV58" s="2"/>
      <c r="RW58" s="2"/>
      <c r="RX58" s="2"/>
      <c r="RY58" s="2"/>
      <c r="RZ58" s="2"/>
      <c r="SA58" s="2"/>
      <c r="SB58" s="2"/>
      <c r="SC58" s="2"/>
      <c r="SD58" s="2"/>
      <c r="SE58" s="2"/>
      <c r="SF58" s="2"/>
      <c r="SG58" s="2"/>
      <c r="SH58" s="2"/>
      <c r="SI58" s="2"/>
      <c r="SJ58" s="2"/>
      <c r="SK58" s="2"/>
      <c r="SL58" s="2"/>
      <c r="SM58" s="2"/>
      <c r="SN58" s="2"/>
      <c r="SO58" s="2"/>
      <c r="SP58" s="2"/>
      <c r="SQ58" s="2"/>
      <c r="SR58" s="2"/>
      <c r="SS58" s="2"/>
      <c r="ST58" s="2"/>
      <c r="SU58" s="2"/>
      <c r="SV58" s="2"/>
      <c r="SW58" s="2"/>
      <c r="SX58" s="2"/>
      <c r="SY58" s="2"/>
      <c r="SZ58" s="2"/>
      <c r="TA58" s="2"/>
      <c r="TB58" s="2"/>
      <c r="TC58" s="2"/>
      <c r="TD58" s="2"/>
      <c r="TE58" s="2"/>
      <c r="TF58" s="2"/>
      <c r="TG58" s="2"/>
      <c r="TH58" s="2"/>
      <c r="TI58" s="2"/>
      <c r="TJ58" s="2"/>
      <c r="TK58" s="2"/>
      <c r="TL58" s="2"/>
      <c r="TM58" s="2"/>
      <c r="TN58" s="2"/>
      <c r="TO58" s="2"/>
      <c r="TP58" s="2"/>
      <c r="TQ58" s="2"/>
      <c r="TR58" s="2"/>
      <c r="TS58" s="2"/>
      <c r="TT58" s="2"/>
      <c r="TU58" s="2"/>
      <c r="TV58" s="2"/>
      <c r="TW58" s="2"/>
      <c r="TX58" s="2"/>
      <c r="TY58" s="2"/>
      <c r="TZ58" s="2"/>
      <c r="UA58" s="2"/>
      <c r="UB58" s="2"/>
      <c r="UC58" s="2"/>
      <c r="UD58" s="2"/>
      <c r="UE58" s="2"/>
      <c r="UF58" s="2"/>
      <c r="UG58" s="2"/>
      <c r="UH58" s="2"/>
      <c r="UI58" s="2"/>
      <c r="UJ58" s="2"/>
      <c r="UK58" s="2"/>
      <c r="UL58" s="2"/>
      <c r="UM58" s="2"/>
      <c r="UN58" s="2"/>
      <c r="UO58" s="2"/>
      <c r="UP58" s="2"/>
      <c r="UQ58" s="2"/>
      <c r="UR58" s="2"/>
      <c r="US58" s="2"/>
      <c r="UT58" s="2"/>
      <c r="UU58" s="2"/>
      <c r="UV58" s="2"/>
      <c r="UW58" s="2"/>
      <c r="UX58" s="2"/>
      <c r="UY58" s="2"/>
      <c r="UZ58" s="2"/>
      <c r="VA58" s="2"/>
      <c r="VB58" s="2"/>
      <c r="VC58" s="2"/>
      <c r="VD58" s="2"/>
      <c r="VE58" s="2"/>
      <c r="VF58" s="2"/>
      <c r="VG58" s="2"/>
      <c r="VH58" s="2"/>
      <c r="VI58" s="2"/>
      <c r="VJ58" s="2"/>
      <c r="VK58" s="2"/>
      <c r="VL58" s="2"/>
      <c r="VM58" s="2"/>
      <c r="VN58" s="2"/>
      <c r="VO58" s="2"/>
      <c r="VP58" s="2"/>
      <c r="VQ58" s="2"/>
      <c r="VR58" s="2"/>
      <c r="VS58" s="2"/>
      <c r="VT58" s="2"/>
      <c r="VU58" s="2"/>
      <c r="VV58" s="2"/>
      <c r="VW58" s="2"/>
      <c r="VX58" s="2"/>
      <c r="VY58" s="2"/>
      <c r="VZ58" s="2"/>
      <c r="WA58" s="2"/>
      <c r="WB58" s="2"/>
      <c r="WC58" s="2"/>
      <c r="WD58" s="2"/>
      <c r="WE58" s="2"/>
      <c r="WF58" s="2"/>
      <c r="WG58" s="2"/>
      <c r="WH58" s="2"/>
      <c r="WI58" s="2"/>
      <c r="WJ58" s="2"/>
      <c r="WK58" s="2"/>
      <c r="WL58" s="2"/>
      <c r="WM58" s="2"/>
      <c r="WN58" s="2"/>
      <c r="WO58" s="2"/>
      <c r="WP58" s="2"/>
      <c r="WQ58" s="2"/>
      <c r="WR58" s="2"/>
      <c r="WS58" s="2"/>
      <c r="WT58" s="2"/>
      <c r="WU58" s="2"/>
      <c r="WV58" s="2"/>
      <c r="WW58" s="2"/>
      <c r="WX58" s="2"/>
      <c r="WY58" s="2"/>
      <c r="WZ58" s="2"/>
      <c r="XA58" s="2"/>
      <c r="XB58" s="2"/>
      <c r="XC58" s="2"/>
      <c r="XD58" s="2"/>
      <c r="XE58" s="2"/>
      <c r="XF58" s="2"/>
      <c r="XG58" s="2"/>
      <c r="XH58" s="2"/>
      <c r="XI58" s="2"/>
      <c r="XJ58" s="2"/>
      <c r="XK58" s="2"/>
      <c r="XL58" s="2"/>
      <c r="XM58" s="2"/>
      <c r="XN58" s="2"/>
      <c r="XO58" s="2"/>
      <c r="XP58" s="2"/>
      <c r="XQ58" s="2"/>
      <c r="XR58" s="2"/>
      <c r="XS58" s="2"/>
      <c r="XT58" s="2"/>
      <c r="XU58" s="2"/>
      <c r="XV58" s="2"/>
      <c r="XW58" s="2"/>
      <c r="XX58" s="2"/>
      <c r="XY58" s="2"/>
      <c r="XZ58" s="2"/>
      <c r="YA58" s="2"/>
      <c r="YB58" s="2"/>
      <c r="YC58" s="2"/>
      <c r="YD58" s="2"/>
      <c r="YE58" s="2"/>
      <c r="YF58" s="2"/>
      <c r="YG58" s="2"/>
      <c r="YH58" s="2"/>
      <c r="YI58" s="2"/>
      <c r="YJ58" s="2"/>
      <c r="YK58" s="2"/>
      <c r="YL58" s="2"/>
      <c r="YM58" s="2"/>
      <c r="YN58" s="2"/>
      <c r="YO58" s="2"/>
      <c r="YP58" s="2"/>
      <c r="YQ58" s="2"/>
      <c r="YR58" s="2"/>
      <c r="YS58" s="2"/>
      <c r="YT58" s="2"/>
      <c r="YU58" s="2"/>
      <c r="YV58" s="2"/>
      <c r="YW58" s="2"/>
      <c r="YX58" s="2"/>
      <c r="YY58" s="2"/>
      <c r="YZ58" s="2"/>
      <c r="ZA58" s="2"/>
      <c r="ZB58" s="2"/>
      <c r="ZC58" s="2"/>
      <c r="ZD58" s="2"/>
      <c r="ZE58" s="2"/>
      <c r="ZF58" s="2"/>
      <c r="ZG58" s="2"/>
      <c r="ZH58" s="2"/>
      <c r="ZI58" s="2"/>
      <c r="ZJ58" s="2"/>
      <c r="ZK58" s="2"/>
      <c r="ZL58" s="2"/>
      <c r="ZM58" s="2"/>
      <c r="ZN58" s="2"/>
      <c r="ZO58" s="2"/>
      <c r="ZP58" s="2"/>
      <c r="ZQ58" s="2"/>
      <c r="ZR58" s="2"/>
      <c r="ZS58" s="2"/>
      <c r="ZT58" s="2"/>
      <c r="ZU58" s="2"/>
      <c r="ZV58" s="2"/>
      <c r="ZW58" s="2"/>
      <c r="ZX58" s="2"/>
      <c r="ZY58" s="2"/>
      <c r="ZZ58" s="2"/>
      <c r="AAA58" s="2"/>
      <c r="AAB58" s="2"/>
      <c r="AAC58" s="2"/>
      <c r="AAD58" s="2"/>
      <c r="AAE58" s="2"/>
      <c r="AAF58" s="2"/>
      <c r="AAG58" s="2"/>
      <c r="AAH58" s="2"/>
      <c r="AAI58" s="2"/>
      <c r="AAJ58" s="2"/>
      <c r="AAK58" s="2"/>
      <c r="AAL58" s="2"/>
      <c r="AAM58" s="2"/>
      <c r="AAN58" s="2"/>
      <c r="AAO58" s="2"/>
      <c r="AAP58" s="2"/>
      <c r="AAQ58" s="2"/>
      <c r="AAR58" s="2"/>
      <c r="AAS58" s="2"/>
      <c r="AAT58" s="2"/>
      <c r="AAU58" s="2"/>
      <c r="AAV58" s="2"/>
      <c r="AAW58" s="2"/>
      <c r="AAX58" s="2"/>
      <c r="AAY58" s="2"/>
      <c r="AAZ58" s="2"/>
      <c r="ABA58" s="2"/>
      <c r="ABB58" s="2"/>
      <c r="ABC58" s="2"/>
      <c r="ABD58" s="2"/>
      <c r="ABE58" s="2"/>
      <c r="ABF58" s="2"/>
      <c r="ABG58" s="2"/>
      <c r="ABH58" s="2"/>
      <c r="ABI58" s="2"/>
      <c r="ABJ58" s="2"/>
      <c r="ABK58" s="2"/>
      <c r="ABL58" s="2"/>
      <c r="ABM58" s="2"/>
      <c r="ABN58" s="2"/>
      <c r="ABO58" s="2"/>
      <c r="ABP58" s="2"/>
      <c r="ABQ58" s="2"/>
      <c r="ABR58" s="2"/>
      <c r="ABS58" s="2"/>
      <c r="ABT58" s="2"/>
      <c r="ABU58" s="2"/>
      <c r="ABV58" s="2"/>
      <c r="ABW58" s="2"/>
      <c r="ABX58" s="2"/>
      <c r="ABY58" s="2"/>
      <c r="ABZ58" s="2"/>
      <c r="ACA58" s="2"/>
      <c r="ACB58" s="2"/>
      <c r="ACC58" s="2"/>
      <c r="ACD58" s="2"/>
      <c r="ACE58" s="2"/>
      <c r="ACF58" s="2"/>
      <c r="ACG58" s="2"/>
      <c r="ACH58" s="2"/>
      <c r="ACI58" s="2"/>
      <c r="ACJ58" s="2"/>
      <c r="ACK58" s="2"/>
      <c r="ACL58" s="2"/>
      <c r="ACM58" s="2"/>
      <c r="ACN58" s="2"/>
      <c r="ACO58" s="2"/>
      <c r="ACP58" s="2"/>
      <c r="ACQ58" s="2"/>
      <c r="ACR58" s="2"/>
      <c r="ACS58" s="2"/>
      <c r="ACT58" s="2"/>
      <c r="ACU58" s="2"/>
      <c r="ACV58" s="2"/>
      <c r="ACW58" s="2"/>
      <c r="ACX58" s="2"/>
      <c r="ACY58" s="2"/>
      <c r="ACZ58" s="2"/>
      <c r="ADA58" s="2"/>
      <c r="ADB58" s="2"/>
      <c r="ADC58" s="2"/>
      <c r="ADD58" s="2"/>
      <c r="ADE58" s="2"/>
      <c r="ADF58" s="2"/>
      <c r="ADG58" s="2"/>
      <c r="ADH58" s="2"/>
      <c r="ADI58" s="2"/>
      <c r="ADJ58" s="2"/>
      <c r="ADK58" s="2"/>
      <c r="ADL58" s="2"/>
      <c r="ADM58" s="2"/>
      <c r="ADN58" s="2"/>
      <c r="ADO58" s="2"/>
      <c r="ADP58" s="2"/>
      <c r="ADQ58" s="2"/>
      <c r="ADR58" s="2"/>
      <c r="ADS58" s="2"/>
      <c r="ADT58" s="2"/>
      <c r="ADU58" s="2"/>
      <c r="ADV58" s="2"/>
      <c r="ADW58" s="2"/>
      <c r="ADX58" s="2"/>
      <c r="ADY58" s="2"/>
      <c r="ADZ58" s="2"/>
      <c r="AEA58" s="2"/>
      <c r="AEB58" s="2"/>
      <c r="AEC58" s="2"/>
      <c r="AED58" s="2"/>
      <c r="AEE58" s="2"/>
      <c r="AEF58" s="2"/>
      <c r="AEG58" s="2"/>
      <c r="AEH58" s="2"/>
      <c r="AEI58" s="2"/>
      <c r="AEJ58" s="2"/>
      <c r="AEK58" s="2"/>
      <c r="AEL58" s="2"/>
      <c r="AEM58" s="2"/>
      <c r="AEN58" s="2"/>
      <c r="AEO58" s="2"/>
      <c r="AEP58" s="2"/>
      <c r="AEQ58" s="2"/>
      <c r="AER58" s="2"/>
      <c r="AES58" s="2"/>
      <c r="AET58" s="2"/>
      <c r="AEU58" s="2"/>
      <c r="AEV58" s="2"/>
      <c r="AEW58" s="2"/>
      <c r="AEX58" s="2"/>
      <c r="AEY58" s="2"/>
      <c r="AEZ58" s="2"/>
      <c r="AFA58" s="2"/>
      <c r="AFB58" s="2"/>
      <c r="AFC58" s="2"/>
      <c r="AFD58" s="2"/>
      <c r="AFE58" s="2"/>
      <c r="AFF58" s="2"/>
      <c r="AFG58" s="2"/>
      <c r="AFH58" s="2"/>
      <c r="AFI58" s="2"/>
      <c r="AFJ58" s="2"/>
      <c r="AFK58" s="2"/>
      <c r="AFL58" s="2"/>
      <c r="AFM58" s="2"/>
      <c r="AFN58" s="2"/>
      <c r="AFO58" s="2"/>
      <c r="AFP58" s="2"/>
      <c r="AFQ58" s="2"/>
      <c r="AFR58" s="2"/>
      <c r="AFS58" s="2"/>
      <c r="AFT58" s="2"/>
      <c r="AFU58" s="2"/>
      <c r="AFV58" s="2"/>
      <c r="AFW58" s="2"/>
      <c r="AFX58" s="2"/>
      <c r="AFY58" s="2"/>
      <c r="AFZ58" s="2"/>
      <c r="AGA58" s="2"/>
      <c r="AGB58" s="2"/>
      <c r="AGC58" s="2"/>
      <c r="AGD58" s="2"/>
      <c r="AGE58" s="2"/>
      <c r="AGF58" s="2"/>
      <c r="AGG58" s="2"/>
      <c r="AGH58" s="2"/>
      <c r="AGI58" s="2"/>
      <c r="AGJ58" s="2"/>
      <c r="AGK58" s="2"/>
      <c r="AGL58" s="2"/>
      <c r="AGM58" s="2"/>
      <c r="AGN58" s="2"/>
      <c r="AGO58" s="2"/>
      <c r="AGP58" s="2"/>
      <c r="AGQ58" s="2"/>
      <c r="AGR58" s="2"/>
      <c r="AGS58" s="2"/>
      <c r="AGT58" s="2"/>
      <c r="AGU58" s="2"/>
      <c r="AGV58" s="2"/>
      <c r="AGW58" s="2"/>
      <c r="AGX58" s="2"/>
      <c r="AGY58" s="2"/>
      <c r="AGZ58" s="2"/>
      <c r="AHA58" s="2"/>
      <c r="AHB58" s="2"/>
      <c r="AHC58" s="2"/>
      <c r="AHD58" s="2"/>
      <c r="AHE58" s="2"/>
      <c r="AHF58" s="2"/>
      <c r="AHG58" s="2"/>
      <c r="AHH58" s="2"/>
      <c r="AHI58" s="2"/>
      <c r="AHJ58" s="2"/>
      <c r="AHK58" s="2"/>
      <c r="AHL58" s="2"/>
      <c r="AHM58" s="2"/>
      <c r="AHN58" s="2"/>
      <c r="AHO58" s="2"/>
      <c r="AHP58" s="2"/>
      <c r="AHQ58" s="2"/>
      <c r="AHR58" s="2"/>
      <c r="AHS58" s="2"/>
      <c r="AHT58" s="2"/>
      <c r="AHU58" s="2"/>
      <c r="AHV58" s="2"/>
      <c r="AHW58" s="2"/>
      <c r="AHX58" s="2"/>
      <c r="AHY58" s="2"/>
      <c r="AHZ58" s="2"/>
      <c r="AIA58" s="2"/>
      <c r="AIB58" s="2"/>
      <c r="AIC58" s="2"/>
      <c r="AID58" s="2"/>
      <c r="AIE58" s="2"/>
      <c r="AIF58" s="2"/>
      <c r="AIG58" s="2"/>
      <c r="AIH58" s="2"/>
      <c r="AII58" s="2"/>
      <c r="AIJ58" s="2"/>
      <c r="AIK58" s="2"/>
      <c r="AIL58" s="2"/>
      <c r="AIM58" s="2"/>
      <c r="AIN58" s="2"/>
      <c r="AIO58" s="2"/>
      <c r="AIP58" s="2"/>
      <c r="AIQ58" s="2"/>
      <c r="AIR58" s="2"/>
      <c r="AIS58" s="2"/>
      <c r="AIT58" s="2"/>
      <c r="AIU58" s="2"/>
      <c r="AIV58" s="2"/>
      <c r="AIW58" s="2"/>
      <c r="AIX58" s="2"/>
      <c r="AIY58" s="2"/>
      <c r="AIZ58" s="2"/>
      <c r="AJA58" s="2"/>
      <c r="AJB58" s="2"/>
      <c r="AJC58" s="2"/>
      <c r="AJD58" s="2"/>
      <c r="AJE58" s="2"/>
      <c r="AJF58" s="2"/>
      <c r="AJG58" s="2"/>
      <c r="AJH58" s="2"/>
      <c r="AJI58" s="2"/>
      <c r="AJJ58" s="2"/>
      <c r="AJK58" s="2"/>
      <c r="AJL58" s="2"/>
      <c r="AJM58" s="2"/>
      <c r="AJN58" s="2"/>
      <c r="AJO58" s="2"/>
      <c r="AJP58" s="2"/>
      <c r="AJQ58" s="2"/>
      <c r="AJR58" s="2"/>
      <c r="AJS58" s="2"/>
      <c r="AJT58" s="2"/>
      <c r="AJU58" s="2"/>
      <c r="AJV58" s="2"/>
      <c r="AJW58" s="2"/>
      <c r="AJX58" s="2"/>
      <c r="AJY58" s="2"/>
      <c r="AJZ58" s="2"/>
    </row>
    <row r="59" spans="1:962">
      <c r="A59" s="16">
        <v>58</v>
      </c>
      <c r="B59" s="16">
        <v>1</v>
      </c>
      <c r="C59" s="16">
        <v>8.9</v>
      </c>
      <c r="D59" s="9">
        <v>3.6</v>
      </c>
      <c r="E59" s="9">
        <v>4.7</v>
      </c>
      <c r="F59" s="9">
        <v>0.1</v>
      </c>
      <c r="G59" s="16">
        <v>267</v>
      </c>
      <c r="H59" s="17">
        <v>2</v>
      </c>
      <c r="I59" s="9">
        <f t="shared" si="0"/>
        <v>0.76595744680851063</v>
      </c>
      <c r="J59" s="9">
        <f t="shared" si="1"/>
        <v>2.1276595744680851E-2</v>
      </c>
      <c r="K59" s="9">
        <f t="shared" si="2"/>
        <v>56.808510638297868</v>
      </c>
      <c r="L59" s="9">
        <f t="shared" si="3"/>
        <v>204.51063829787233</v>
      </c>
      <c r="M59" s="16">
        <v>9</v>
      </c>
      <c r="N59" s="16" t="s">
        <v>30</v>
      </c>
      <c r="O59" s="9">
        <v>6.03</v>
      </c>
      <c r="P59" s="9">
        <v>8.9</v>
      </c>
      <c r="Q59" s="9">
        <v>3.6</v>
      </c>
      <c r="R59" s="9">
        <v>4.7</v>
      </c>
      <c r="S59" s="9">
        <v>0.1</v>
      </c>
      <c r="T59" s="9">
        <v>0.49</v>
      </c>
      <c r="U59" s="9">
        <v>0.01</v>
      </c>
      <c r="V59" s="9">
        <v>0</v>
      </c>
      <c r="W59" s="18">
        <v>8.36</v>
      </c>
      <c r="X59" s="19">
        <v>124</v>
      </c>
      <c r="Y59" s="16">
        <v>0.38</v>
      </c>
      <c r="Z59" s="16">
        <v>267</v>
      </c>
      <c r="AA59" s="16">
        <v>0.4</v>
      </c>
      <c r="AB59" s="16">
        <v>3.5000000000000003E-2</v>
      </c>
      <c r="AC59" s="16">
        <v>154.9</v>
      </c>
      <c r="AD59" s="16">
        <v>4.5999999999999996</v>
      </c>
      <c r="AE59" s="16">
        <v>121.4</v>
      </c>
      <c r="AF59" s="16">
        <v>2.33</v>
      </c>
      <c r="AG59" s="16">
        <v>1.06</v>
      </c>
      <c r="AH59" s="16">
        <v>11.27</v>
      </c>
      <c r="AI59" s="16">
        <v>135.09</v>
      </c>
      <c r="AJ59" s="16">
        <v>20.100000000000001</v>
      </c>
      <c r="AK59" s="16">
        <v>80.400000000000006</v>
      </c>
      <c r="AL59" s="16">
        <v>76.63</v>
      </c>
      <c r="AM59" s="16">
        <v>34.89</v>
      </c>
      <c r="AN59" s="16">
        <v>1.0740000000000001</v>
      </c>
      <c r="AO59" s="16">
        <v>7.2999999999999995E-2</v>
      </c>
      <c r="AP59" s="16">
        <v>11</v>
      </c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  <c r="JC59" s="2"/>
      <c r="JD59" s="2"/>
      <c r="JE59" s="2"/>
      <c r="JF59" s="2"/>
      <c r="JG59" s="2"/>
      <c r="JH59" s="2"/>
      <c r="JI59" s="2"/>
      <c r="JJ59" s="2"/>
      <c r="JK59" s="2"/>
      <c r="JL59" s="2"/>
      <c r="JM59" s="2"/>
      <c r="JN59" s="2"/>
      <c r="JO59" s="2"/>
      <c r="JP59" s="2"/>
      <c r="JQ59" s="2"/>
      <c r="JR59" s="2"/>
      <c r="JS59" s="2"/>
      <c r="JT59" s="2"/>
      <c r="JU59" s="2"/>
      <c r="JV59" s="2"/>
      <c r="JW59" s="2"/>
      <c r="JX59" s="2"/>
      <c r="JY59" s="2"/>
      <c r="JZ59" s="2"/>
      <c r="KA59" s="2"/>
      <c r="KB59" s="2"/>
      <c r="KC59" s="2"/>
      <c r="KD59" s="2"/>
      <c r="KE59" s="2"/>
      <c r="KF59" s="2"/>
      <c r="KG59" s="2"/>
      <c r="KH59" s="2"/>
      <c r="KI59" s="2"/>
      <c r="KJ59" s="2"/>
      <c r="KK59" s="2"/>
      <c r="KL59" s="2"/>
      <c r="KM59" s="2"/>
      <c r="KN59" s="2"/>
      <c r="KO59" s="2"/>
      <c r="KP59" s="2"/>
      <c r="KQ59" s="2"/>
      <c r="KR59" s="2"/>
      <c r="KS59" s="2"/>
      <c r="KT59" s="2"/>
      <c r="KU59" s="2"/>
      <c r="KV59" s="2"/>
      <c r="KW59" s="2"/>
      <c r="KX59" s="2"/>
      <c r="KY59" s="2"/>
      <c r="KZ59" s="2"/>
      <c r="LA59" s="2"/>
      <c r="LB59" s="2"/>
      <c r="LC59" s="2"/>
      <c r="LD59" s="2"/>
      <c r="LE59" s="2"/>
      <c r="LF59" s="2"/>
      <c r="LG59" s="2"/>
      <c r="LH59" s="2"/>
      <c r="LI59" s="2"/>
      <c r="LJ59" s="2"/>
      <c r="LK59" s="2"/>
      <c r="LL59" s="2"/>
      <c r="LM59" s="2"/>
      <c r="LN59" s="2"/>
      <c r="LO59" s="2"/>
      <c r="LP59" s="2"/>
      <c r="LQ59" s="2"/>
      <c r="LR59" s="2"/>
      <c r="LS59" s="2"/>
      <c r="LT59" s="2"/>
      <c r="LU59" s="2"/>
      <c r="LV59" s="2"/>
      <c r="LW59" s="2"/>
      <c r="LX59" s="2"/>
      <c r="LY59" s="2"/>
      <c r="LZ59" s="2"/>
      <c r="MA59" s="2"/>
      <c r="MB59" s="2"/>
      <c r="MC59" s="2"/>
      <c r="MD59" s="2"/>
      <c r="ME59" s="2"/>
      <c r="MF59" s="2"/>
      <c r="MG59" s="2"/>
      <c r="MH59" s="2"/>
      <c r="MI59" s="2"/>
      <c r="MJ59" s="2"/>
      <c r="MK59" s="2"/>
      <c r="ML59" s="2"/>
      <c r="MM59" s="2"/>
      <c r="MN59" s="2"/>
      <c r="MO59" s="2"/>
      <c r="MP59" s="2"/>
      <c r="MQ59" s="2"/>
      <c r="MR59" s="2"/>
      <c r="MS59" s="2"/>
      <c r="MT59" s="2"/>
      <c r="MU59" s="2"/>
      <c r="MV59" s="2"/>
      <c r="MW59" s="2"/>
      <c r="MX59" s="2"/>
      <c r="MY59" s="2"/>
      <c r="MZ59" s="2"/>
      <c r="NA59" s="2"/>
      <c r="NB59" s="2"/>
      <c r="NC59" s="2"/>
      <c r="ND59" s="2"/>
      <c r="NE59" s="2"/>
      <c r="NF59" s="2"/>
      <c r="NG59" s="2"/>
      <c r="NH59" s="2"/>
      <c r="NI59" s="2"/>
      <c r="NJ59" s="2"/>
      <c r="NK59" s="2"/>
      <c r="NL59" s="2"/>
      <c r="NM59" s="2"/>
      <c r="NN59" s="2"/>
      <c r="NO59" s="2"/>
      <c r="NP59" s="2"/>
      <c r="NQ59" s="2"/>
      <c r="NR59" s="2"/>
      <c r="NS59" s="2"/>
      <c r="NT59" s="2"/>
      <c r="NU59" s="2"/>
      <c r="NV59" s="2"/>
      <c r="NW59" s="2"/>
      <c r="NX59" s="2"/>
      <c r="NY59" s="2"/>
      <c r="NZ59" s="2"/>
      <c r="OA59" s="2"/>
      <c r="OB59" s="2"/>
      <c r="OC59" s="2"/>
      <c r="OD59" s="2"/>
      <c r="OE59" s="2"/>
      <c r="OF59" s="2"/>
      <c r="OG59" s="2"/>
      <c r="OH59" s="2"/>
      <c r="OI59" s="2"/>
      <c r="OJ59" s="2"/>
      <c r="OK59" s="2"/>
      <c r="OL59" s="2"/>
      <c r="OM59" s="2"/>
      <c r="ON59" s="2"/>
      <c r="OO59" s="2"/>
      <c r="OP59" s="2"/>
      <c r="OQ59" s="2"/>
      <c r="OR59" s="2"/>
      <c r="OS59" s="2"/>
      <c r="OT59" s="2"/>
      <c r="OU59" s="2"/>
      <c r="OV59" s="2"/>
      <c r="OW59" s="2"/>
      <c r="OX59" s="2"/>
      <c r="OY59" s="2"/>
      <c r="OZ59" s="2"/>
      <c r="PA59" s="2"/>
      <c r="PB59" s="2"/>
      <c r="PC59" s="2"/>
      <c r="PD59" s="2"/>
      <c r="PE59" s="2"/>
      <c r="PF59" s="2"/>
      <c r="PG59" s="2"/>
      <c r="PH59" s="2"/>
      <c r="PI59" s="2"/>
      <c r="PJ59" s="2"/>
      <c r="PK59" s="2"/>
      <c r="PL59" s="2"/>
      <c r="PM59" s="2"/>
      <c r="PN59" s="2"/>
      <c r="PO59" s="2"/>
      <c r="PP59" s="2"/>
      <c r="PQ59" s="2"/>
      <c r="PR59" s="2"/>
      <c r="PS59" s="2"/>
      <c r="PT59" s="2"/>
      <c r="PU59" s="2"/>
      <c r="PV59" s="2"/>
      <c r="PW59" s="2"/>
      <c r="PX59" s="2"/>
      <c r="PY59" s="2"/>
      <c r="PZ59" s="2"/>
      <c r="QA59" s="2"/>
      <c r="QB59" s="2"/>
      <c r="QC59" s="2"/>
      <c r="QD59" s="2"/>
      <c r="QE59" s="2"/>
      <c r="QF59" s="2"/>
      <c r="QG59" s="2"/>
      <c r="QH59" s="2"/>
      <c r="QI59" s="2"/>
      <c r="QJ59" s="2"/>
      <c r="QK59" s="2"/>
      <c r="QL59" s="2"/>
      <c r="QM59" s="2"/>
      <c r="QN59" s="2"/>
      <c r="QO59" s="2"/>
      <c r="QP59" s="2"/>
      <c r="QQ59" s="2"/>
      <c r="QR59" s="2"/>
      <c r="QS59" s="2"/>
      <c r="QT59" s="2"/>
      <c r="QU59" s="2"/>
      <c r="QV59" s="2"/>
      <c r="QW59" s="2"/>
      <c r="QX59" s="2"/>
      <c r="QY59" s="2"/>
      <c r="QZ59" s="2"/>
      <c r="RA59" s="2"/>
      <c r="RB59" s="2"/>
      <c r="RC59" s="2"/>
      <c r="RD59" s="2"/>
      <c r="RE59" s="2"/>
      <c r="RF59" s="2"/>
      <c r="RG59" s="2"/>
      <c r="RH59" s="2"/>
      <c r="RI59" s="2"/>
      <c r="RJ59" s="2"/>
      <c r="RK59" s="2"/>
      <c r="RL59" s="2"/>
      <c r="RM59" s="2"/>
      <c r="RN59" s="2"/>
      <c r="RO59" s="2"/>
      <c r="RP59" s="2"/>
      <c r="RQ59" s="2"/>
      <c r="RR59" s="2"/>
      <c r="RS59" s="2"/>
      <c r="RT59" s="2"/>
      <c r="RU59" s="2"/>
      <c r="RV59" s="2"/>
      <c r="RW59" s="2"/>
      <c r="RX59" s="2"/>
      <c r="RY59" s="2"/>
      <c r="RZ59" s="2"/>
      <c r="SA59" s="2"/>
      <c r="SB59" s="2"/>
      <c r="SC59" s="2"/>
      <c r="SD59" s="2"/>
      <c r="SE59" s="2"/>
      <c r="SF59" s="2"/>
      <c r="SG59" s="2"/>
      <c r="SH59" s="2"/>
      <c r="SI59" s="2"/>
      <c r="SJ59" s="2"/>
      <c r="SK59" s="2"/>
      <c r="SL59" s="2"/>
      <c r="SM59" s="2"/>
      <c r="SN59" s="2"/>
      <c r="SO59" s="2"/>
      <c r="SP59" s="2"/>
      <c r="SQ59" s="2"/>
      <c r="SR59" s="2"/>
      <c r="SS59" s="2"/>
      <c r="ST59" s="2"/>
      <c r="SU59" s="2"/>
      <c r="SV59" s="2"/>
      <c r="SW59" s="2"/>
      <c r="SX59" s="2"/>
      <c r="SY59" s="2"/>
      <c r="SZ59" s="2"/>
      <c r="TA59" s="2"/>
      <c r="TB59" s="2"/>
      <c r="TC59" s="2"/>
      <c r="TD59" s="2"/>
      <c r="TE59" s="2"/>
      <c r="TF59" s="2"/>
      <c r="TG59" s="2"/>
      <c r="TH59" s="2"/>
      <c r="TI59" s="2"/>
      <c r="TJ59" s="2"/>
      <c r="TK59" s="2"/>
      <c r="TL59" s="2"/>
      <c r="TM59" s="2"/>
      <c r="TN59" s="2"/>
      <c r="TO59" s="2"/>
      <c r="TP59" s="2"/>
      <c r="TQ59" s="2"/>
      <c r="TR59" s="2"/>
      <c r="TS59" s="2"/>
      <c r="TT59" s="2"/>
      <c r="TU59" s="2"/>
      <c r="TV59" s="2"/>
      <c r="TW59" s="2"/>
      <c r="TX59" s="2"/>
      <c r="TY59" s="2"/>
      <c r="TZ59" s="2"/>
      <c r="UA59" s="2"/>
      <c r="UB59" s="2"/>
      <c r="UC59" s="2"/>
      <c r="UD59" s="2"/>
      <c r="UE59" s="2"/>
      <c r="UF59" s="2"/>
      <c r="UG59" s="2"/>
      <c r="UH59" s="2"/>
      <c r="UI59" s="2"/>
      <c r="UJ59" s="2"/>
      <c r="UK59" s="2"/>
      <c r="UL59" s="2"/>
      <c r="UM59" s="2"/>
      <c r="UN59" s="2"/>
      <c r="UO59" s="2"/>
      <c r="UP59" s="2"/>
      <c r="UQ59" s="2"/>
      <c r="UR59" s="2"/>
      <c r="US59" s="2"/>
      <c r="UT59" s="2"/>
      <c r="UU59" s="2"/>
      <c r="UV59" s="2"/>
      <c r="UW59" s="2"/>
      <c r="UX59" s="2"/>
      <c r="UY59" s="2"/>
      <c r="UZ59" s="2"/>
      <c r="VA59" s="2"/>
      <c r="VB59" s="2"/>
      <c r="VC59" s="2"/>
      <c r="VD59" s="2"/>
      <c r="VE59" s="2"/>
      <c r="VF59" s="2"/>
      <c r="VG59" s="2"/>
      <c r="VH59" s="2"/>
      <c r="VI59" s="2"/>
      <c r="VJ59" s="2"/>
      <c r="VK59" s="2"/>
      <c r="VL59" s="2"/>
      <c r="VM59" s="2"/>
      <c r="VN59" s="2"/>
      <c r="VO59" s="2"/>
      <c r="VP59" s="2"/>
      <c r="VQ59" s="2"/>
      <c r="VR59" s="2"/>
      <c r="VS59" s="2"/>
      <c r="VT59" s="2"/>
      <c r="VU59" s="2"/>
      <c r="VV59" s="2"/>
      <c r="VW59" s="2"/>
      <c r="VX59" s="2"/>
      <c r="VY59" s="2"/>
      <c r="VZ59" s="2"/>
      <c r="WA59" s="2"/>
      <c r="WB59" s="2"/>
      <c r="WC59" s="2"/>
      <c r="WD59" s="2"/>
      <c r="WE59" s="2"/>
      <c r="WF59" s="2"/>
      <c r="WG59" s="2"/>
      <c r="WH59" s="2"/>
      <c r="WI59" s="2"/>
      <c r="WJ59" s="2"/>
      <c r="WK59" s="2"/>
      <c r="WL59" s="2"/>
      <c r="WM59" s="2"/>
      <c r="WN59" s="2"/>
      <c r="WO59" s="2"/>
      <c r="WP59" s="2"/>
      <c r="WQ59" s="2"/>
      <c r="WR59" s="2"/>
      <c r="WS59" s="2"/>
      <c r="WT59" s="2"/>
      <c r="WU59" s="2"/>
      <c r="WV59" s="2"/>
      <c r="WW59" s="2"/>
      <c r="WX59" s="2"/>
      <c r="WY59" s="2"/>
      <c r="WZ59" s="2"/>
      <c r="XA59" s="2"/>
      <c r="XB59" s="2"/>
      <c r="XC59" s="2"/>
      <c r="XD59" s="2"/>
      <c r="XE59" s="2"/>
      <c r="XF59" s="2"/>
      <c r="XG59" s="2"/>
      <c r="XH59" s="2"/>
      <c r="XI59" s="2"/>
      <c r="XJ59" s="2"/>
      <c r="XK59" s="2"/>
      <c r="XL59" s="2"/>
      <c r="XM59" s="2"/>
      <c r="XN59" s="2"/>
      <c r="XO59" s="2"/>
      <c r="XP59" s="2"/>
      <c r="XQ59" s="2"/>
      <c r="XR59" s="2"/>
      <c r="XS59" s="2"/>
      <c r="XT59" s="2"/>
      <c r="XU59" s="2"/>
      <c r="XV59" s="2"/>
      <c r="XW59" s="2"/>
      <c r="XX59" s="2"/>
      <c r="XY59" s="2"/>
      <c r="XZ59" s="2"/>
      <c r="YA59" s="2"/>
      <c r="YB59" s="2"/>
      <c r="YC59" s="2"/>
      <c r="YD59" s="2"/>
      <c r="YE59" s="2"/>
      <c r="YF59" s="2"/>
      <c r="YG59" s="2"/>
      <c r="YH59" s="2"/>
      <c r="YI59" s="2"/>
      <c r="YJ59" s="2"/>
      <c r="YK59" s="2"/>
      <c r="YL59" s="2"/>
      <c r="YM59" s="2"/>
      <c r="YN59" s="2"/>
      <c r="YO59" s="2"/>
      <c r="YP59" s="2"/>
      <c r="YQ59" s="2"/>
      <c r="YR59" s="2"/>
      <c r="YS59" s="2"/>
      <c r="YT59" s="2"/>
      <c r="YU59" s="2"/>
      <c r="YV59" s="2"/>
      <c r="YW59" s="2"/>
      <c r="YX59" s="2"/>
      <c r="YY59" s="2"/>
      <c r="YZ59" s="2"/>
      <c r="ZA59" s="2"/>
      <c r="ZB59" s="2"/>
      <c r="ZC59" s="2"/>
      <c r="ZD59" s="2"/>
      <c r="ZE59" s="2"/>
      <c r="ZF59" s="2"/>
      <c r="ZG59" s="2"/>
      <c r="ZH59" s="2"/>
      <c r="ZI59" s="2"/>
      <c r="ZJ59" s="2"/>
      <c r="ZK59" s="2"/>
      <c r="ZL59" s="2"/>
      <c r="ZM59" s="2"/>
      <c r="ZN59" s="2"/>
      <c r="ZO59" s="2"/>
      <c r="ZP59" s="2"/>
      <c r="ZQ59" s="2"/>
      <c r="ZR59" s="2"/>
      <c r="ZS59" s="2"/>
      <c r="ZT59" s="2"/>
      <c r="ZU59" s="2"/>
      <c r="ZV59" s="2"/>
      <c r="ZW59" s="2"/>
      <c r="ZX59" s="2"/>
      <c r="ZY59" s="2"/>
      <c r="ZZ59" s="2"/>
      <c r="AAA59" s="2"/>
      <c r="AAB59" s="2"/>
      <c r="AAC59" s="2"/>
      <c r="AAD59" s="2"/>
      <c r="AAE59" s="2"/>
      <c r="AAF59" s="2"/>
      <c r="AAG59" s="2"/>
      <c r="AAH59" s="2"/>
      <c r="AAI59" s="2"/>
      <c r="AAJ59" s="2"/>
      <c r="AAK59" s="2"/>
      <c r="AAL59" s="2"/>
      <c r="AAM59" s="2"/>
      <c r="AAN59" s="2"/>
      <c r="AAO59" s="2"/>
      <c r="AAP59" s="2"/>
      <c r="AAQ59" s="2"/>
      <c r="AAR59" s="2"/>
      <c r="AAS59" s="2"/>
      <c r="AAT59" s="2"/>
      <c r="AAU59" s="2"/>
      <c r="AAV59" s="2"/>
      <c r="AAW59" s="2"/>
      <c r="AAX59" s="2"/>
      <c r="AAY59" s="2"/>
      <c r="AAZ59" s="2"/>
      <c r="ABA59" s="2"/>
      <c r="ABB59" s="2"/>
      <c r="ABC59" s="2"/>
      <c r="ABD59" s="2"/>
      <c r="ABE59" s="2"/>
      <c r="ABF59" s="2"/>
      <c r="ABG59" s="2"/>
      <c r="ABH59" s="2"/>
      <c r="ABI59" s="2"/>
      <c r="ABJ59" s="2"/>
      <c r="ABK59" s="2"/>
      <c r="ABL59" s="2"/>
      <c r="ABM59" s="2"/>
      <c r="ABN59" s="2"/>
      <c r="ABO59" s="2"/>
      <c r="ABP59" s="2"/>
      <c r="ABQ59" s="2"/>
      <c r="ABR59" s="2"/>
      <c r="ABS59" s="2"/>
      <c r="ABT59" s="2"/>
      <c r="ABU59" s="2"/>
      <c r="ABV59" s="2"/>
      <c r="ABW59" s="2"/>
      <c r="ABX59" s="2"/>
      <c r="ABY59" s="2"/>
      <c r="ABZ59" s="2"/>
      <c r="ACA59" s="2"/>
      <c r="ACB59" s="2"/>
      <c r="ACC59" s="2"/>
      <c r="ACD59" s="2"/>
      <c r="ACE59" s="2"/>
      <c r="ACF59" s="2"/>
      <c r="ACG59" s="2"/>
      <c r="ACH59" s="2"/>
      <c r="ACI59" s="2"/>
      <c r="ACJ59" s="2"/>
      <c r="ACK59" s="2"/>
      <c r="ACL59" s="2"/>
      <c r="ACM59" s="2"/>
      <c r="ACN59" s="2"/>
      <c r="ACO59" s="2"/>
      <c r="ACP59" s="2"/>
      <c r="ACQ59" s="2"/>
      <c r="ACR59" s="2"/>
      <c r="ACS59" s="2"/>
      <c r="ACT59" s="2"/>
      <c r="ACU59" s="2"/>
      <c r="ACV59" s="2"/>
      <c r="ACW59" s="2"/>
      <c r="ACX59" s="2"/>
      <c r="ACY59" s="2"/>
      <c r="ACZ59" s="2"/>
      <c r="ADA59" s="2"/>
      <c r="ADB59" s="2"/>
      <c r="ADC59" s="2"/>
      <c r="ADD59" s="2"/>
      <c r="ADE59" s="2"/>
      <c r="ADF59" s="2"/>
      <c r="ADG59" s="2"/>
      <c r="ADH59" s="2"/>
      <c r="ADI59" s="2"/>
      <c r="ADJ59" s="2"/>
      <c r="ADK59" s="2"/>
      <c r="ADL59" s="2"/>
      <c r="ADM59" s="2"/>
      <c r="ADN59" s="2"/>
      <c r="ADO59" s="2"/>
      <c r="ADP59" s="2"/>
      <c r="ADQ59" s="2"/>
      <c r="ADR59" s="2"/>
      <c r="ADS59" s="2"/>
      <c r="ADT59" s="2"/>
      <c r="ADU59" s="2"/>
      <c r="ADV59" s="2"/>
      <c r="ADW59" s="2"/>
      <c r="ADX59" s="2"/>
      <c r="ADY59" s="2"/>
      <c r="ADZ59" s="2"/>
      <c r="AEA59" s="2"/>
      <c r="AEB59" s="2"/>
      <c r="AEC59" s="2"/>
      <c r="AED59" s="2"/>
      <c r="AEE59" s="2"/>
      <c r="AEF59" s="2"/>
      <c r="AEG59" s="2"/>
      <c r="AEH59" s="2"/>
      <c r="AEI59" s="2"/>
      <c r="AEJ59" s="2"/>
      <c r="AEK59" s="2"/>
      <c r="AEL59" s="2"/>
      <c r="AEM59" s="2"/>
      <c r="AEN59" s="2"/>
      <c r="AEO59" s="2"/>
      <c r="AEP59" s="2"/>
      <c r="AEQ59" s="2"/>
      <c r="AER59" s="2"/>
      <c r="AES59" s="2"/>
      <c r="AET59" s="2"/>
      <c r="AEU59" s="2"/>
      <c r="AEV59" s="2"/>
      <c r="AEW59" s="2"/>
      <c r="AEX59" s="2"/>
      <c r="AEY59" s="2"/>
      <c r="AEZ59" s="2"/>
      <c r="AFA59" s="2"/>
      <c r="AFB59" s="2"/>
      <c r="AFC59" s="2"/>
      <c r="AFD59" s="2"/>
      <c r="AFE59" s="2"/>
      <c r="AFF59" s="2"/>
      <c r="AFG59" s="2"/>
      <c r="AFH59" s="2"/>
      <c r="AFI59" s="2"/>
      <c r="AFJ59" s="2"/>
      <c r="AFK59" s="2"/>
      <c r="AFL59" s="2"/>
      <c r="AFM59" s="2"/>
      <c r="AFN59" s="2"/>
      <c r="AFO59" s="2"/>
      <c r="AFP59" s="2"/>
      <c r="AFQ59" s="2"/>
      <c r="AFR59" s="2"/>
      <c r="AFS59" s="2"/>
      <c r="AFT59" s="2"/>
      <c r="AFU59" s="2"/>
      <c r="AFV59" s="2"/>
      <c r="AFW59" s="2"/>
      <c r="AFX59" s="2"/>
      <c r="AFY59" s="2"/>
      <c r="AFZ59" s="2"/>
      <c r="AGA59" s="2"/>
      <c r="AGB59" s="2"/>
      <c r="AGC59" s="2"/>
      <c r="AGD59" s="2"/>
      <c r="AGE59" s="2"/>
      <c r="AGF59" s="2"/>
      <c r="AGG59" s="2"/>
      <c r="AGH59" s="2"/>
      <c r="AGI59" s="2"/>
      <c r="AGJ59" s="2"/>
      <c r="AGK59" s="2"/>
      <c r="AGL59" s="2"/>
      <c r="AGM59" s="2"/>
      <c r="AGN59" s="2"/>
      <c r="AGO59" s="2"/>
      <c r="AGP59" s="2"/>
      <c r="AGQ59" s="2"/>
      <c r="AGR59" s="2"/>
      <c r="AGS59" s="2"/>
      <c r="AGT59" s="2"/>
      <c r="AGU59" s="2"/>
      <c r="AGV59" s="2"/>
      <c r="AGW59" s="2"/>
      <c r="AGX59" s="2"/>
      <c r="AGY59" s="2"/>
      <c r="AGZ59" s="2"/>
      <c r="AHA59" s="2"/>
      <c r="AHB59" s="2"/>
      <c r="AHC59" s="2"/>
      <c r="AHD59" s="2"/>
      <c r="AHE59" s="2"/>
      <c r="AHF59" s="2"/>
      <c r="AHG59" s="2"/>
      <c r="AHH59" s="2"/>
      <c r="AHI59" s="2"/>
      <c r="AHJ59" s="2"/>
      <c r="AHK59" s="2"/>
      <c r="AHL59" s="2"/>
      <c r="AHM59" s="2"/>
      <c r="AHN59" s="2"/>
      <c r="AHO59" s="2"/>
      <c r="AHP59" s="2"/>
      <c r="AHQ59" s="2"/>
      <c r="AHR59" s="2"/>
      <c r="AHS59" s="2"/>
      <c r="AHT59" s="2"/>
      <c r="AHU59" s="2"/>
      <c r="AHV59" s="2"/>
      <c r="AHW59" s="2"/>
      <c r="AHX59" s="2"/>
      <c r="AHY59" s="2"/>
      <c r="AHZ59" s="2"/>
      <c r="AIA59" s="2"/>
      <c r="AIB59" s="2"/>
      <c r="AIC59" s="2"/>
      <c r="AID59" s="2"/>
      <c r="AIE59" s="2"/>
      <c r="AIF59" s="2"/>
      <c r="AIG59" s="2"/>
      <c r="AIH59" s="2"/>
      <c r="AII59" s="2"/>
      <c r="AIJ59" s="2"/>
      <c r="AIK59" s="2"/>
      <c r="AIL59" s="2"/>
      <c r="AIM59" s="2"/>
      <c r="AIN59" s="2"/>
      <c r="AIO59" s="2"/>
      <c r="AIP59" s="2"/>
      <c r="AIQ59" s="2"/>
      <c r="AIR59" s="2"/>
      <c r="AIS59" s="2"/>
      <c r="AIT59" s="2"/>
      <c r="AIU59" s="2"/>
      <c r="AIV59" s="2"/>
      <c r="AIW59" s="2"/>
      <c r="AIX59" s="2"/>
      <c r="AIY59" s="2"/>
      <c r="AIZ59" s="2"/>
      <c r="AJA59" s="2"/>
      <c r="AJB59" s="2"/>
      <c r="AJC59" s="2"/>
      <c r="AJD59" s="2"/>
      <c r="AJE59" s="2"/>
      <c r="AJF59" s="2"/>
      <c r="AJG59" s="2"/>
      <c r="AJH59" s="2"/>
      <c r="AJI59" s="2"/>
      <c r="AJJ59" s="2"/>
      <c r="AJK59" s="2"/>
      <c r="AJL59" s="2"/>
      <c r="AJM59" s="2"/>
      <c r="AJN59" s="2"/>
      <c r="AJO59" s="2"/>
      <c r="AJP59" s="2"/>
      <c r="AJQ59" s="2"/>
      <c r="AJR59" s="2"/>
      <c r="AJS59" s="2"/>
      <c r="AJT59" s="2"/>
      <c r="AJU59" s="2"/>
      <c r="AJV59" s="2"/>
      <c r="AJW59" s="2"/>
      <c r="AJX59" s="2"/>
      <c r="AJY59" s="2"/>
      <c r="AJZ59" s="2"/>
    </row>
    <row r="60" spans="1:962">
      <c r="A60" s="16">
        <v>59</v>
      </c>
      <c r="B60" s="16">
        <v>1</v>
      </c>
      <c r="C60" s="16">
        <v>7.27</v>
      </c>
      <c r="D60" s="9">
        <v>5.1100000000000003</v>
      </c>
      <c r="E60" s="9">
        <v>1.08</v>
      </c>
      <c r="F60" s="9">
        <v>0.15</v>
      </c>
      <c r="G60" s="16">
        <v>295</v>
      </c>
      <c r="H60" s="17">
        <v>2</v>
      </c>
      <c r="I60" s="9">
        <f t="shared" si="0"/>
        <v>4.7314814814814818</v>
      </c>
      <c r="J60" s="9">
        <f t="shared" si="1"/>
        <v>0.13888888888888887</v>
      </c>
      <c r="K60" s="9">
        <f t="shared" si="2"/>
        <v>273.14814814814815</v>
      </c>
      <c r="L60" s="9">
        <f t="shared" si="3"/>
        <v>1395.787037037037</v>
      </c>
      <c r="M60" s="16">
        <v>7</v>
      </c>
      <c r="N60" s="16" t="s">
        <v>30</v>
      </c>
      <c r="O60" s="9">
        <v>7.5</v>
      </c>
      <c r="P60" s="9">
        <v>7.27</v>
      </c>
      <c r="Q60" s="9">
        <v>5.1100000000000003</v>
      </c>
      <c r="R60" s="9">
        <v>1.08</v>
      </c>
      <c r="S60" s="9">
        <v>0.15</v>
      </c>
      <c r="T60" s="9">
        <v>0.92</v>
      </c>
      <c r="U60" s="9">
        <v>0</v>
      </c>
      <c r="V60" s="9">
        <v>0</v>
      </c>
      <c r="W60" s="18">
        <v>7.92</v>
      </c>
      <c r="X60" s="19">
        <v>139</v>
      </c>
      <c r="Y60" s="16">
        <v>0.41</v>
      </c>
      <c r="Z60" s="16">
        <v>295</v>
      </c>
      <c r="AA60" s="16">
        <v>0.1</v>
      </c>
      <c r="AB60" s="16">
        <v>0.01</v>
      </c>
      <c r="AC60" s="16">
        <v>160</v>
      </c>
      <c r="AD60" s="16">
        <v>4.68</v>
      </c>
      <c r="AE60" s="16">
        <v>124.8</v>
      </c>
      <c r="AF60" s="16">
        <v>2.66</v>
      </c>
      <c r="AG60" s="16">
        <v>1.53</v>
      </c>
      <c r="AH60" s="16">
        <v>11.7</v>
      </c>
      <c r="AI60" s="16">
        <v>141.19999999999999</v>
      </c>
      <c r="AJ60" s="16">
        <v>21.3</v>
      </c>
      <c r="AK60" s="16">
        <v>83.9</v>
      </c>
      <c r="AL60" s="16">
        <v>73.400000000000006</v>
      </c>
      <c r="AM60" s="16">
        <v>34.4</v>
      </c>
      <c r="AN60" s="16">
        <v>1.0760000000000001</v>
      </c>
      <c r="AO60" s="16">
        <v>0.187</v>
      </c>
      <c r="AP60" s="16">
        <v>14</v>
      </c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  <c r="JC60" s="2"/>
      <c r="JD60" s="2"/>
      <c r="JE60" s="2"/>
      <c r="JF60" s="2"/>
      <c r="JG60" s="2"/>
      <c r="JH60" s="2"/>
      <c r="JI60" s="2"/>
      <c r="JJ60" s="2"/>
      <c r="JK60" s="2"/>
      <c r="JL60" s="2"/>
      <c r="JM60" s="2"/>
      <c r="JN60" s="2"/>
      <c r="JO60" s="2"/>
      <c r="JP60" s="2"/>
      <c r="JQ60" s="2"/>
      <c r="JR60" s="2"/>
      <c r="JS60" s="2"/>
      <c r="JT60" s="2"/>
      <c r="JU60" s="2"/>
      <c r="JV60" s="2"/>
      <c r="JW60" s="2"/>
      <c r="JX60" s="2"/>
      <c r="JY60" s="2"/>
      <c r="JZ60" s="2"/>
      <c r="KA60" s="2"/>
      <c r="KB60" s="2"/>
      <c r="KC60" s="2"/>
      <c r="KD60" s="2"/>
      <c r="KE60" s="2"/>
      <c r="KF60" s="2"/>
      <c r="KG60" s="2"/>
      <c r="KH60" s="2"/>
      <c r="KI60" s="2"/>
      <c r="KJ60" s="2"/>
      <c r="KK60" s="2"/>
      <c r="KL60" s="2"/>
      <c r="KM60" s="2"/>
      <c r="KN60" s="2"/>
      <c r="KO60" s="2"/>
      <c r="KP60" s="2"/>
      <c r="KQ60" s="2"/>
      <c r="KR60" s="2"/>
      <c r="KS60" s="2"/>
      <c r="KT60" s="2"/>
      <c r="KU60" s="2"/>
      <c r="KV60" s="2"/>
      <c r="KW60" s="2"/>
      <c r="KX60" s="2"/>
      <c r="KY60" s="2"/>
      <c r="KZ60" s="2"/>
      <c r="LA60" s="2"/>
      <c r="LB60" s="2"/>
      <c r="LC60" s="2"/>
      <c r="LD60" s="2"/>
      <c r="LE60" s="2"/>
      <c r="LF60" s="2"/>
      <c r="LG60" s="2"/>
      <c r="LH60" s="2"/>
      <c r="LI60" s="2"/>
      <c r="LJ60" s="2"/>
      <c r="LK60" s="2"/>
      <c r="LL60" s="2"/>
      <c r="LM60" s="2"/>
      <c r="LN60" s="2"/>
      <c r="LO60" s="2"/>
      <c r="LP60" s="2"/>
      <c r="LQ60" s="2"/>
      <c r="LR60" s="2"/>
      <c r="LS60" s="2"/>
      <c r="LT60" s="2"/>
      <c r="LU60" s="2"/>
      <c r="LV60" s="2"/>
      <c r="LW60" s="2"/>
      <c r="LX60" s="2"/>
      <c r="LY60" s="2"/>
      <c r="LZ60" s="2"/>
      <c r="MA60" s="2"/>
      <c r="MB60" s="2"/>
      <c r="MC60" s="2"/>
      <c r="MD60" s="2"/>
      <c r="ME60" s="2"/>
      <c r="MF60" s="2"/>
      <c r="MG60" s="2"/>
      <c r="MH60" s="2"/>
      <c r="MI60" s="2"/>
      <c r="MJ60" s="2"/>
      <c r="MK60" s="2"/>
      <c r="ML60" s="2"/>
      <c r="MM60" s="2"/>
      <c r="MN60" s="2"/>
      <c r="MO60" s="2"/>
      <c r="MP60" s="2"/>
      <c r="MQ60" s="2"/>
      <c r="MR60" s="2"/>
      <c r="MS60" s="2"/>
      <c r="MT60" s="2"/>
      <c r="MU60" s="2"/>
      <c r="MV60" s="2"/>
      <c r="MW60" s="2"/>
      <c r="MX60" s="2"/>
      <c r="MY60" s="2"/>
      <c r="MZ60" s="2"/>
      <c r="NA60" s="2"/>
      <c r="NB60" s="2"/>
      <c r="NC60" s="2"/>
      <c r="ND60" s="2"/>
      <c r="NE60" s="2"/>
      <c r="NF60" s="2"/>
      <c r="NG60" s="2"/>
      <c r="NH60" s="2"/>
      <c r="NI60" s="2"/>
      <c r="NJ60" s="2"/>
      <c r="NK60" s="2"/>
      <c r="NL60" s="2"/>
      <c r="NM60" s="2"/>
      <c r="NN60" s="2"/>
      <c r="NO60" s="2"/>
      <c r="NP60" s="2"/>
      <c r="NQ60" s="2"/>
      <c r="NR60" s="2"/>
      <c r="NS60" s="2"/>
      <c r="NT60" s="2"/>
      <c r="NU60" s="2"/>
      <c r="NV60" s="2"/>
      <c r="NW60" s="2"/>
      <c r="NX60" s="2"/>
      <c r="NY60" s="2"/>
      <c r="NZ60" s="2"/>
      <c r="OA60" s="2"/>
      <c r="OB60" s="2"/>
      <c r="OC60" s="2"/>
      <c r="OD60" s="2"/>
      <c r="OE60" s="2"/>
      <c r="OF60" s="2"/>
      <c r="OG60" s="2"/>
      <c r="OH60" s="2"/>
      <c r="OI60" s="2"/>
      <c r="OJ60" s="2"/>
      <c r="OK60" s="2"/>
      <c r="OL60" s="2"/>
      <c r="OM60" s="2"/>
      <c r="ON60" s="2"/>
      <c r="OO60" s="2"/>
      <c r="OP60" s="2"/>
      <c r="OQ60" s="2"/>
      <c r="OR60" s="2"/>
      <c r="OS60" s="2"/>
      <c r="OT60" s="2"/>
      <c r="OU60" s="2"/>
      <c r="OV60" s="2"/>
      <c r="OW60" s="2"/>
      <c r="OX60" s="2"/>
      <c r="OY60" s="2"/>
      <c r="OZ60" s="2"/>
      <c r="PA60" s="2"/>
      <c r="PB60" s="2"/>
      <c r="PC60" s="2"/>
      <c r="PD60" s="2"/>
      <c r="PE60" s="2"/>
      <c r="PF60" s="2"/>
      <c r="PG60" s="2"/>
      <c r="PH60" s="2"/>
      <c r="PI60" s="2"/>
      <c r="PJ60" s="2"/>
      <c r="PK60" s="2"/>
      <c r="PL60" s="2"/>
      <c r="PM60" s="2"/>
      <c r="PN60" s="2"/>
      <c r="PO60" s="2"/>
      <c r="PP60" s="2"/>
      <c r="PQ60" s="2"/>
      <c r="PR60" s="2"/>
      <c r="PS60" s="2"/>
      <c r="PT60" s="2"/>
      <c r="PU60" s="2"/>
      <c r="PV60" s="2"/>
      <c r="PW60" s="2"/>
      <c r="PX60" s="2"/>
      <c r="PY60" s="2"/>
      <c r="PZ60" s="2"/>
      <c r="QA60" s="2"/>
      <c r="QB60" s="2"/>
      <c r="QC60" s="2"/>
      <c r="QD60" s="2"/>
      <c r="QE60" s="2"/>
      <c r="QF60" s="2"/>
      <c r="QG60" s="2"/>
      <c r="QH60" s="2"/>
      <c r="QI60" s="2"/>
      <c r="QJ60" s="2"/>
      <c r="QK60" s="2"/>
      <c r="QL60" s="2"/>
      <c r="QM60" s="2"/>
      <c r="QN60" s="2"/>
      <c r="QO60" s="2"/>
      <c r="QP60" s="2"/>
      <c r="QQ60" s="2"/>
      <c r="QR60" s="2"/>
      <c r="QS60" s="2"/>
      <c r="QT60" s="2"/>
      <c r="QU60" s="2"/>
      <c r="QV60" s="2"/>
      <c r="QW60" s="2"/>
      <c r="QX60" s="2"/>
      <c r="QY60" s="2"/>
      <c r="QZ60" s="2"/>
      <c r="RA60" s="2"/>
      <c r="RB60" s="2"/>
      <c r="RC60" s="2"/>
      <c r="RD60" s="2"/>
      <c r="RE60" s="2"/>
      <c r="RF60" s="2"/>
      <c r="RG60" s="2"/>
      <c r="RH60" s="2"/>
      <c r="RI60" s="2"/>
      <c r="RJ60" s="2"/>
      <c r="RK60" s="2"/>
      <c r="RL60" s="2"/>
      <c r="RM60" s="2"/>
      <c r="RN60" s="2"/>
      <c r="RO60" s="2"/>
      <c r="RP60" s="2"/>
      <c r="RQ60" s="2"/>
      <c r="RR60" s="2"/>
      <c r="RS60" s="2"/>
      <c r="RT60" s="2"/>
      <c r="RU60" s="2"/>
      <c r="RV60" s="2"/>
      <c r="RW60" s="2"/>
      <c r="RX60" s="2"/>
      <c r="RY60" s="2"/>
      <c r="RZ60" s="2"/>
      <c r="SA60" s="2"/>
      <c r="SB60" s="2"/>
      <c r="SC60" s="2"/>
      <c r="SD60" s="2"/>
      <c r="SE60" s="2"/>
      <c r="SF60" s="2"/>
      <c r="SG60" s="2"/>
      <c r="SH60" s="2"/>
      <c r="SI60" s="2"/>
      <c r="SJ60" s="2"/>
      <c r="SK60" s="2"/>
      <c r="SL60" s="2"/>
      <c r="SM60" s="2"/>
      <c r="SN60" s="2"/>
      <c r="SO60" s="2"/>
      <c r="SP60" s="2"/>
      <c r="SQ60" s="2"/>
      <c r="SR60" s="2"/>
      <c r="SS60" s="2"/>
      <c r="ST60" s="2"/>
      <c r="SU60" s="2"/>
      <c r="SV60" s="2"/>
      <c r="SW60" s="2"/>
      <c r="SX60" s="2"/>
      <c r="SY60" s="2"/>
      <c r="SZ60" s="2"/>
      <c r="TA60" s="2"/>
      <c r="TB60" s="2"/>
      <c r="TC60" s="2"/>
      <c r="TD60" s="2"/>
      <c r="TE60" s="2"/>
      <c r="TF60" s="2"/>
      <c r="TG60" s="2"/>
      <c r="TH60" s="2"/>
      <c r="TI60" s="2"/>
      <c r="TJ60" s="2"/>
      <c r="TK60" s="2"/>
      <c r="TL60" s="2"/>
      <c r="TM60" s="2"/>
      <c r="TN60" s="2"/>
      <c r="TO60" s="2"/>
      <c r="TP60" s="2"/>
      <c r="TQ60" s="2"/>
      <c r="TR60" s="2"/>
      <c r="TS60" s="2"/>
      <c r="TT60" s="2"/>
      <c r="TU60" s="2"/>
      <c r="TV60" s="2"/>
      <c r="TW60" s="2"/>
      <c r="TX60" s="2"/>
      <c r="TY60" s="2"/>
      <c r="TZ60" s="2"/>
      <c r="UA60" s="2"/>
      <c r="UB60" s="2"/>
      <c r="UC60" s="2"/>
      <c r="UD60" s="2"/>
      <c r="UE60" s="2"/>
      <c r="UF60" s="2"/>
      <c r="UG60" s="2"/>
      <c r="UH60" s="2"/>
      <c r="UI60" s="2"/>
      <c r="UJ60" s="2"/>
      <c r="UK60" s="2"/>
      <c r="UL60" s="2"/>
      <c r="UM60" s="2"/>
      <c r="UN60" s="2"/>
      <c r="UO60" s="2"/>
      <c r="UP60" s="2"/>
      <c r="UQ60" s="2"/>
      <c r="UR60" s="2"/>
      <c r="US60" s="2"/>
      <c r="UT60" s="2"/>
      <c r="UU60" s="2"/>
      <c r="UV60" s="2"/>
      <c r="UW60" s="2"/>
      <c r="UX60" s="2"/>
      <c r="UY60" s="2"/>
      <c r="UZ60" s="2"/>
      <c r="VA60" s="2"/>
      <c r="VB60" s="2"/>
      <c r="VC60" s="2"/>
      <c r="VD60" s="2"/>
      <c r="VE60" s="2"/>
      <c r="VF60" s="2"/>
      <c r="VG60" s="2"/>
      <c r="VH60" s="2"/>
      <c r="VI60" s="2"/>
      <c r="VJ60" s="2"/>
      <c r="VK60" s="2"/>
      <c r="VL60" s="2"/>
      <c r="VM60" s="2"/>
      <c r="VN60" s="2"/>
      <c r="VO60" s="2"/>
      <c r="VP60" s="2"/>
      <c r="VQ60" s="2"/>
      <c r="VR60" s="2"/>
      <c r="VS60" s="2"/>
      <c r="VT60" s="2"/>
      <c r="VU60" s="2"/>
      <c r="VV60" s="2"/>
      <c r="VW60" s="2"/>
      <c r="VX60" s="2"/>
      <c r="VY60" s="2"/>
      <c r="VZ60" s="2"/>
      <c r="WA60" s="2"/>
      <c r="WB60" s="2"/>
      <c r="WC60" s="2"/>
      <c r="WD60" s="2"/>
      <c r="WE60" s="2"/>
      <c r="WF60" s="2"/>
      <c r="WG60" s="2"/>
      <c r="WH60" s="2"/>
      <c r="WI60" s="2"/>
      <c r="WJ60" s="2"/>
      <c r="WK60" s="2"/>
      <c r="WL60" s="2"/>
      <c r="WM60" s="2"/>
      <c r="WN60" s="2"/>
      <c r="WO60" s="2"/>
      <c r="WP60" s="2"/>
      <c r="WQ60" s="2"/>
      <c r="WR60" s="2"/>
      <c r="WS60" s="2"/>
      <c r="WT60" s="2"/>
      <c r="WU60" s="2"/>
      <c r="WV60" s="2"/>
      <c r="WW60" s="2"/>
      <c r="WX60" s="2"/>
      <c r="WY60" s="2"/>
      <c r="WZ60" s="2"/>
      <c r="XA60" s="2"/>
      <c r="XB60" s="2"/>
      <c r="XC60" s="2"/>
      <c r="XD60" s="2"/>
      <c r="XE60" s="2"/>
      <c r="XF60" s="2"/>
      <c r="XG60" s="2"/>
      <c r="XH60" s="2"/>
      <c r="XI60" s="2"/>
      <c r="XJ60" s="2"/>
      <c r="XK60" s="2"/>
      <c r="XL60" s="2"/>
      <c r="XM60" s="2"/>
      <c r="XN60" s="2"/>
      <c r="XO60" s="2"/>
      <c r="XP60" s="2"/>
      <c r="XQ60" s="2"/>
      <c r="XR60" s="2"/>
      <c r="XS60" s="2"/>
      <c r="XT60" s="2"/>
      <c r="XU60" s="2"/>
      <c r="XV60" s="2"/>
      <c r="XW60" s="2"/>
      <c r="XX60" s="2"/>
      <c r="XY60" s="2"/>
      <c r="XZ60" s="2"/>
      <c r="YA60" s="2"/>
      <c r="YB60" s="2"/>
      <c r="YC60" s="2"/>
      <c r="YD60" s="2"/>
      <c r="YE60" s="2"/>
      <c r="YF60" s="2"/>
      <c r="YG60" s="2"/>
      <c r="YH60" s="2"/>
      <c r="YI60" s="2"/>
      <c r="YJ60" s="2"/>
      <c r="YK60" s="2"/>
      <c r="YL60" s="2"/>
      <c r="YM60" s="2"/>
      <c r="YN60" s="2"/>
      <c r="YO60" s="2"/>
      <c r="YP60" s="2"/>
      <c r="YQ60" s="2"/>
      <c r="YR60" s="2"/>
      <c r="YS60" s="2"/>
      <c r="YT60" s="2"/>
      <c r="YU60" s="2"/>
      <c r="YV60" s="2"/>
      <c r="YW60" s="2"/>
      <c r="YX60" s="2"/>
      <c r="YY60" s="2"/>
      <c r="YZ60" s="2"/>
      <c r="ZA60" s="2"/>
      <c r="ZB60" s="2"/>
      <c r="ZC60" s="2"/>
      <c r="ZD60" s="2"/>
      <c r="ZE60" s="2"/>
      <c r="ZF60" s="2"/>
      <c r="ZG60" s="2"/>
      <c r="ZH60" s="2"/>
      <c r="ZI60" s="2"/>
      <c r="ZJ60" s="2"/>
      <c r="ZK60" s="2"/>
      <c r="ZL60" s="2"/>
      <c r="ZM60" s="2"/>
      <c r="ZN60" s="2"/>
      <c r="ZO60" s="2"/>
      <c r="ZP60" s="2"/>
      <c r="ZQ60" s="2"/>
      <c r="ZR60" s="2"/>
      <c r="ZS60" s="2"/>
      <c r="ZT60" s="2"/>
      <c r="ZU60" s="2"/>
      <c r="ZV60" s="2"/>
      <c r="ZW60" s="2"/>
      <c r="ZX60" s="2"/>
      <c r="ZY60" s="2"/>
      <c r="ZZ60" s="2"/>
      <c r="AAA60" s="2"/>
      <c r="AAB60" s="2"/>
      <c r="AAC60" s="2"/>
      <c r="AAD60" s="2"/>
      <c r="AAE60" s="2"/>
      <c r="AAF60" s="2"/>
      <c r="AAG60" s="2"/>
      <c r="AAH60" s="2"/>
      <c r="AAI60" s="2"/>
      <c r="AAJ60" s="2"/>
      <c r="AAK60" s="2"/>
      <c r="AAL60" s="2"/>
      <c r="AAM60" s="2"/>
      <c r="AAN60" s="2"/>
      <c r="AAO60" s="2"/>
      <c r="AAP60" s="2"/>
      <c r="AAQ60" s="2"/>
      <c r="AAR60" s="2"/>
      <c r="AAS60" s="2"/>
      <c r="AAT60" s="2"/>
      <c r="AAU60" s="2"/>
      <c r="AAV60" s="2"/>
      <c r="AAW60" s="2"/>
      <c r="AAX60" s="2"/>
      <c r="AAY60" s="2"/>
      <c r="AAZ60" s="2"/>
      <c r="ABA60" s="2"/>
      <c r="ABB60" s="2"/>
      <c r="ABC60" s="2"/>
      <c r="ABD60" s="2"/>
      <c r="ABE60" s="2"/>
      <c r="ABF60" s="2"/>
      <c r="ABG60" s="2"/>
      <c r="ABH60" s="2"/>
      <c r="ABI60" s="2"/>
      <c r="ABJ60" s="2"/>
      <c r="ABK60" s="2"/>
      <c r="ABL60" s="2"/>
      <c r="ABM60" s="2"/>
      <c r="ABN60" s="2"/>
      <c r="ABO60" s="2"/>
      <c r="ABP60" s="2"/>
      <c r="ABQ60" s="2"/>
      <c r="ABR60" s="2"/>
      <c r="ABS60" s="2"/>
      <c r="ABT60" s="2"/>
      <c r="ABU60" s="2"/>
      <c r="ABV60" s="2"/>
      <c r="ABW60" s="2"/>
      <c r="ABX60" s="2"/>
      <c r="ABY60" s="2"/>
      <c r="ABZ60" s="2"/>
      <c r="ACA60" s="2"/>
      <c r="ACB60" s="2"/>
      <c r="ACC60" s="2"/>
      <c r="ACD60" s="2"/>
      <c r="ACE60" s="2"/>
      <c r="ACF60" s="2"/>
      <c r="ACG60" s="2"/>
      <c r="ACH60" s="2"/>
      <c r="ACI60" s="2"/>
      <c r="ACJ60" s="2"/>
      <c r="ACK60" s="2"/>
      <c r="ACL60" s="2"/>
      <c r="ACM60" s="2"/>
      <c r="ACN60" s="2"/>
      <c r="ACO60" s="2"/>
      <c r="ACP60" s="2"/>
      <c r="ACQ60" s="2"/>
      <c r="ACR60" s="2"/>
      <c r="ACS60" s="2"/>
      <c r="ACT60" s="2"/>
      <c r="ACU60" s="2"/>
      <c r="ACV60" s="2"/>
      <c r="ACW60" s="2"/>
      <c r="ACX60" s="2"/>
      <c r="ACY60" s="2"/>
      <c r="ACZ60" s="2"/>
      <c r="ADA60" s="2"/>
      <c r="ADB60" s="2"/>
      <c r="ADC60" s="2"/>
      <c r="ADD60" s="2"/>
      <c r="ADE60" s="2"/>
      <c r="ADF60" s="2"/>
      <c r="ADG60" s="2"/>
      <c r="ADH60" s="2"/>
      <c r="ADI60" s="2"/>
      <c r="ADJ60" s="2"/>
      <c r="ADK60" s="2"/>
      <c r="ADL60" s="2"/>
      <c r="ADM60" s="2"/>
      <c r="ADN60" s="2"/>
      <c r="ADO60" s="2"/>
      <c r="ADP60" s="2"/>
      <c r="ADQ60" s="2"/>
      <c r="ADR60" s="2"/>
      <c r="ADS60" s="2"/>
      <c r="ADT60" s="2"/>
      <c r="ADU60" s="2"/>
      <c r="ADV60" s="2"/>
      <c r="ADW60" s="2"/>
      <c r="ADX60" s="2"/>
      <c r="ADY60" s="2"/>
      <c r="ADZ60" s="2"/>
      <c r="AEA60" s="2"/>
      <c r="AEB60" s="2"/>
      <c r="AEC60" s="2"/>
      <c r="AED60" s="2"/>
      <c r="AEE60" s="2"/>
      <c r="AEF60" s="2"/>
      <c r="AEG60" s="2"/>
      <c r="AEH60" s="2"/>
      <c r="AEI60" s="2"/>
      <c r="AEJ60" s="2"/>
      <c r="AEK60" s="2"/>
      <c r="AEL60" s="2"/>
      <c r="AEM60" s="2"/>
      <c r="AEN60" s="2"/>
      <c r="AEO60" s="2"/>
      <c r="AEP60" s="2"/>
      <c r="AEQ60" s="2"/>
      <c r="AER60" s="2"/>
      <c r="AES60" s="2"/>
      <c r="AET60" s="2"/>
      <c r="AEU60" s="2"/>
      <c r="AEV60" s="2"/>
      <c r="AEW60" s="2"/>
      <c r="AEX60" s="2"/>
      <c r="AEY60" s="2"/>
      <c r="AEZ60" s="2"/>
      <c r="AFA60" s="2"/>
      <c r="AFB60" s="2"/>
      <c r="AFC60" s="2"/>
      <c r="AFD60" s="2"/>
      <c r="AFE60" s="2"/>
      <c r="AFF60" s="2"/>
      <c r="AFG60" s="2"/>
      <c r="AFH60" s="2"/>
      <c r="AFI60" s="2"/>
      <c r="AFJ60" s="2"/>
      <c r="AFK60" s="2"/>
      <c r="AFL60" s="2"/>
      <c r="AFM60" s="2"/>
      <c r="AFN60" s="2"/>
      <c r="AFO60" s="2"/>
      <c r="AFP60" s="2"/>
      <c r="AFQ60" s="2"/>
      <c r="AFR60" s="2"/>
      <c r="AFS60" s="2"/>
      <c r="AFT60" s="2"/>
      <c r="AFU60" s="2"/>
      <c r="AFV60" s="2"/>
      <c r="AFW60" s="2"/>
      <c r="AFX60" s="2"/>
      <c r="AFY60" s="2"/>
      <c r="AFZ60" s="2"/>
      <c r="AGA60" s="2"/>
      <c r="AGB60" s="2"/>
      <c r="AGC60" s="2"/>
      <c r="AGD60" s="2"/>
      <c r="AGE60" s="2"/>
      <c r="AGF60" s="2"/>
      <c r="AGG60" s="2"/>
      <c r="AGH60" s="2"/>
      <c r="AGI60" s="2"/>
      <c r="AGJ60" s="2"/>
      <c r="AGK60" s="2"/>
      <c r="AGL60" s="2"/>
      <c r="AGM60" s="2"/>
      <c r="AGN60" s="2"/>
      <c r="AGO60" s="2"/>
      <c r="AGP60" s="2"/>
      <c r="AGQ60" s="2"/>
      <c r="AGR60" s="2"/>
      <c r="AGS60" s="2"/>
      <c r="AGT60" s="2"/>
      <c r="AGU60" s="2"/>
      <c r="AGV60" s="2"/>
      <c r="AGW60" s="2"/>
      <c r="AGX60" s="2"/>
      <c r="AGY60" s="2"/>
      <c r="AGZ60" s="2"/>
      <c r="AHA60" s="2"/>
      <c r="AHB60" s="2"/>
      <c r="AHC60" s="2"/>
      <c r="AHD60" s="2"/>
      <c r="AHE60" s="2"/>
      <c r="AHF60" s="2"/>
      <c r="AHG60" s="2"/>
      <c r="AHH60" s="2"/>
      <c r="AHI60" s="2"/>
      <c r="AHJ60" s="2"/>
      <c r="AHK60" s="2"/>
      <c r="AHL60" s="2"/>
      <c r="AHM60" s="2"/>
      <c r="AHN60" s="2"/>
      <c r="AHO60" s="2"/>
      <c r="AHP60" s="2"/>
      <c r="AHQ60" s="2"/>
      <c r="AHR60" s="2"/>
      <c r="AHS60" s="2"/>
      <c r="AHT60" s="2"/>
      <c r="AHU60" s="2"/>
      <c r="AHV60" s="2"/>
      <c r="AHW60" s="2"/>
      <c r="AHX60" s="2"/>
      <c r="AHY60" s="2"/>
      <c r="AHZ60" s="2"/>
      <c r="AIA60" s="2"/>
      <c r="AIB60" s="2"/>
      <c r="AIC60" s="2"/>
      <c r="AID60" s="2"/>
      <c r="AIE60" s="2"/>
      <c r="AIF60" s="2"/>
      <c r="AIG60" s="2"/>
      <c r="AIH60" s="2"/>
      <c r="AII60" s="2"/>
      <c r="AIJ60" s="2"/>
      <c r="AIK60" s="2"/>
      <c r="AIL60" s="2"/>
      <c r="AIM60" s="2"/>
      <c r="AIN60" s="2"/>
      <c r="AIO60" s="2"/>
      <c r="AIP60" s="2"/>
      <c r="AIQ60" s="2"/>
      <c r="AIR60" s="2"/>
      <c r="AIS60" s="2"/>
      <c r="AIT60" s="2"/>
      <c r="AIU60" s="2"/>
      <c r="AIV60" s="2"/>
      <c r="AIW60" s="2"/>
      <c r="AIX60" s="2"/>
      <c r="AIY60" s="2"/>
      <c r="AIZ60" s="2"/>
      <c r="AJA60" s="2"/>
      <c r="AJB60" s="2"/>
      <c r="AJC60" s="2"/>
      <c r="AJD60" s="2"/>
      <c r="AJE60" s="2"/>
      <c r="AJF60" s="2"/>
      <c r="AJG60" s="2"/>
      <c r="AJH60" s="2"/>
      <c r="AJI60" s="2"/>
      <c r="AJJ60" s="2"/>
      <c r="AJK60" s="2"/>
      <c r="AJL60" s="2"/>
      <c r="AJM60" s="2"/>
      <c r="AJN60" s="2"/>
      <c r="AJO60" s="2"/>
      <c r="AJP60" s="2"/>
      <c r="AJQ60" s="2"/>
      <c r="AJR60" s="2"/>
      <c r="AJS60" s="2"/>
      <c r="AJT60" s="2"/>
      <c r="AJU60" s="2"/>
      <c r="AJV60" s="2"/>
      <c r="AJW60" s="2"/>
      <c r="AJX60" s="2"/>
      <c r="AJY60" s="2"/>
      <c r="AJZ60" s="2"/>
    </row>
    <row r="61" spans="1:962">
      <c r="A61" s="16">
        <v>60</v>
      </c>
      <c r="B61" s="16">
        <v>1</v>
      </c>
      <c r="C61" s="16">
        <v>9.68</v>
      </c>
      <c r="D61" s="9">
        <v>4.75</v>
      </c>
      <c r="E61" s="9">
        <v>4.1500000000000004</v>
      </c>
      <c r="F61" s="9">
        <v>0.17</v>
      </c>
      <c r="G61" s="16">
        <v>358</v>
      </c>
      <c r="H61" s="17">
        <v>2</v>
      </c>
      <c r="I61" s="9">
        <f t="shared" si="0"/>
        <v>1.1445783132530118</v>
      </c>
      <c r="J61" s="9">
        <f t="shared" si="1"/>
        <v>4.0963855421686748E-2</v>
      </c>
      <c r="K61" s="9">
        <f t="shared" si="2"/>
        <v>86.265060240963848</v>
      </c>
      <c r="L61" s="9">
        <f t="shared" si="3"/>
        <v>409.75903614457826</v>
      </c>
      <c r="M61" s="16"/>
      <c r="N61" s="16"/>
      <c r="O61" s="9">
        <v>5.76</v>
      </c>
      <c r="P61" s="16">
        <v>9.68</v>
      </c>
      <c r="Q61" s="9">
        <v>4.75</v>
      </c>
      <c r="R61" s="9">
        <v>4.1500000000000004</v>
      </c>
      <c r="S61" s="9">
        <v>0.17</v>
      </c>
      <c r="T61" s="9"/>
      <c r="U61" s="9"/>
      <c r="V61" s="9"/>
      <c r="W61" s="18">
        <v>9.09</v>
      </c>
      <c r="X61" s="19">
        <v>127</v>
      </c>
      <c r="Y61" s="18">
        <v>0.4</v>
      </c>
      <c r="Z61" s="16"/>
      <c r="AA61" s="16">
        <v>0.4</v>
      </c>
      <c r="AB61" s="16">
        <v>0.4</v>
      </c>
      <c r="AC61" s="9">
        <v>160</v>
      </c>
      <c r="AD61" s="9">
        <v>4.68</v>
      </c>
      <c r="AE61" s="9">
        <v>124.8</v>
      </c>
      <c r="AF61" s="9">
        <v>2.66</v>
      </c>
      <c r="AG61" s="9">
        <v>1.53</v>
      </c>
      <c r="AH61" s="9">
        <v>9.25</v>
      </c>
      <c r="AI61" s="9">
        <v>117.05</v>
      </c>
      <c r="AJ61" s="9">
        <v>7.92</v>
      </c>
      <c r="AK61" s="9">
        <v>139</v>
      </c>
      <c r="AL61" s="9">
        <v>0.41</v>
      </c>
      <c r="AM61" s="16"/>
      <c r="AN61" s="16">
        <v>1.06</v>
      </c>
      <c r="AO61" s="16">
        <v>0.313</v>
      </c>
      <c r="AP61" s="16">
        <v>9</v>
      </c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  <c r="JC61" s="2"/>
      <c r="JD61" s="2"/>
      <c r="JE61" s="2"/>
      <c r="JF61" s="2"/>
      <c r="JG61" s="2"/>
      <c r="JH61" s="2"/>
      <c r="JI61" s="2"/>
      <c r="JJ61" s="2"/>
      <c r="JK61" s="2"/>
      <c r="JL61" s="2"/>
      <c r="JM61" s="2"/>
      <c r="JN61" s="2"/>
      <c r="JO61" s="2"/>
      <c r="JP61" s="2"/>
      <c r="JQ61" s="2"/>
      <c r="JR61" s="2"/>
      <c r="JS61" s="2"/>
      <c r="JT61" s="2"/>
      <c r="JU61" s="2"/>
      <c r="JV61" s="2"/>
      <c r="JW61" s="2"/>
      <c r="JX61" s="2"/>
      <c r="JY61" s="2"/>
      <c r="JZ61" s="2"/>
      <c r="KA61" s="2"/>
      <c r="KB61" s="2"/>
      <c r="KC61" s="2"/>
      <c r="KD61" s="2"/>
      <c r="KE61" s="2"/>
      <c r="KF61" s="2"/>
      <c r="KG61" s="2"/>
      <c r="KH61" s="2"/>
      <c r="KI61" s="2"/>
      <c r="KJ61" s="2"/>
      <c r="KK61" s="2"/>
      <c r="KL61" s="2"/>
      <c r="KM61" s="2"/>
      <c r="KN61" s="2"/>
      <c r="KO61" s="2"/>
      <c r="KP61" s="2"/>
      <c r="KQ61" s="2"/>
      <c r="KR61" s="2"/>
      <c r="KS61" s="2"/>
      <c r="KT61" s="2"/>
      <c r="KU61" s="2"/>
      <c r="KV61" s="2"/>
      <c r="KW61" s="2"/>
      <c r="KX61" s="2"/>
      <c r="KY61" s="2"/>
      <c r="KZ61" s="2"/>
      <c r="LA61" s="2"/>
      <c r="LB61" s="2"/>
      <c r="LC61" s="2"/>
      <c r="LD61" s="2"/>
      <c r="LE61" s="2"/>
      <c r="LF61" s="2"/>
      <c r="LG61" s="2"/>
      <c r="LH61" s="2"/>
      <c r="LI61" s="2"/>
      <c r="LJ61" s="2"/>
      <c r="LK61" s="2"/>
      <c r="LL61" s="2"/>
      <c r="LM61" s="2"/>
      <c r="LN61" s="2"/>
      <c r="LO61" s="2"/>
      <c r="LP61" s="2"/>
      <c r="LQ61" s="2"/>
      <c r="LR61" s="2"/>
      <c r="LS61" s="2"/>
      <c r="LT61" s="2"/>
      <c r="LU61" s="2"/>
      <c r="LV61" s="2"/>
      <c r="LW61" s="2"/>
      <c r="LX61" s="2"/>
      <c r="LY61" s="2"/>
      <c r="LZ61" s="2"/>
      <c r="MA61" s="2"/>
      <c r="MB61" s="2"/>
      <c r="MC61" s="2"/>
      <c r="MD61" s="2"/>
      <c r="ME61" s="2"/>
      <c r="MF61" s="2"/>
      <c r="MG61" s="2"/>
      <c r="MH61" s="2"/>
      <c r="MI61" s="2"/>
      <c r="MJ61" s="2"/>
      <c r="MK61" s="2"/>
      <c r="ML61" s="2"/>
      <c r="MM61" s="2"/>
      <c r="MN61" s="2"/>
      <c r="MO61" s="2"/>
      <c r="MP61" s="2"/>
      <c r="MQ61" s="2"/>
      <c r="MR61" s="2"/>
      <c r="MS61" s="2"/>
      <c r="MT61" s="2"/>
      <c r="MU61" s="2"/>
      <c r="MV61" s="2"/>
      <c r="MW61" s="2"/>
      <c r="MX61" s="2"/>
      <c r="MY61" s="2"/>
      <c r="MZ61" s="2"/>
      <c r="NA61" s="2"/>
      <c r="NB61" s="2"/>
      <c r="NC61" s="2"/>
      <c r="ND61" s="2"/>
      <c r="NE61" s="2"/>
      <c r="NF61" s="2"/>
      <c r="NG61" s="2"/>
      <c r="NH61" s="2"/>
      <c r="NI61" s="2"/>
      <c r="NJ61" s="2"/>
      <c r="NK61" s="2"/>
      <c r="NL61" s="2"/>
      <c r="NM61" s="2"/>
      <c r="NN61" s="2"/>
      <c r="NO61" s="2"/>
      <c r="NP61" s="2"/>
      <c r="NQ61" s="2"/>
      <c r="NR61" s="2"/>
      <c r="NS61" s="2"/>
      <c r="NT61" s="2"/>
      <c r="NU61" s="2"/>
      <c r="NV61" s="2"/>
      <c r="NW61" s="2"/>
      <c r="NX61" s="2"/>
      <c r="NY61" s="2"/>
      <c r="NZ61" s="2"/>
      <c r="OA61" s="2"/>
      <c r="OB61" s="2"/>
      <c r="OC61" s="2"/>
      <c r="OD61" s="2"/>
      <c r="OE61" s="2"/>
      <c r="OF61" s="2"/>
      <c r="OG61" s="2"/>
      <c r="OH61" s="2"/>
      <c r="OI61" s="2"/>
      <c r="OJ61" s="2"/>
      <c r="OK61" s="2"/>
      <c r="OL61" s="2"/>
      <c r="OM61" s="2"/>
      <c r="ON61" s="2"/>
      <c r="OO61" s="2"/>
      <c r="OP61" s="2"/>
      <c r="OQ61" s="2"/>
      <c r="OR61" s="2"/>
      <c r="OS61" s="2"/>
      <c r="OT61" s="2"/>
      <c r="OU61" s="2"/>
      <c r="OV61" s="2"/>
      <c r="OW61" s="2"/>
      <c r="OX61" s="2"/>
      <c r="OY61" s="2"/>
      <c r="OZ61" s="2"/>
      <c r="PA61" s="2"/>
      <c r="PB61" s="2"/>
      <c r="PC61" s="2"/>
      <c r="PD61" s="2"/>
      <c r="PE61" s="2"/>
      <c r="PF61" s="2"/>
      <c r="PG61" s="2"/>
      <c r="PH61" s="2"/>
      <c r="PI61" s="2"/>
      <c r="PJ61" s="2"/>
      <c r="PK61" s="2"/>
      <c r="PL61" s="2"/>
      <c r="PM61" s="2"/>
      <c r="PN61" s="2"/>
      <c r="PO61" s="2"/>
      <c r="PP61" s="2"/>
      <c r="PQ61" s="2"/>
      <c r="PR61" s="2"/>
      <c r="PS61" s="2"/>
      <c r="PT61" s="2"/>
      <c r="PU61" s="2"/>
      <c r="PV61" s="2"/>
      <c r="PW61" s="2"/>
      <c r="PX61" s="2"/>
      <c r="PY61" s="2"/>
      <c r="PZ61" s="2"/>
      <c r="QA61" s="2"/>
      <c r="QB61" s="2"/>
      <c r="QC61" s="2"/>
      <c r="QD61" s="2"/>
      <c r="QE61" s="2"/>
      <c r="QF61" s="2"/>
      <c r="QG61" s="2"/>
      <c r="QH61" s="2"/>
      <c r="QI61" s="2"/>
      <c r="QJ61" s="2"/>
      <c r="QK61" s="2"/>
      <c r="QL61" s="2"/>
      <c r="QM61" s="2"/>
      <c r="QN61" s="2"/>
      <c r="QO61" s="2"/>
      <c r="QP61" s="2"/>
      <c r="QQ61" s="2"/>
      <c r="QR61" s="2"/>
      <c r="QS61" s="2"/>
      <c r="QT61" s="2"/>
      <c r="QU61" s="2"/>
      <c r="QV61" s="2"/>
      <c r="QW61" s="2"/>
      <c r="QX61" s="2"/>
      <c r="QY61" s="2"/>
      <c r="QZ61" s="2"/>
      <c r="RA61" s="2"/>
      <c r="RB61" s="2"/>
      <c r="RC61" s="2"/>
      <c r="RD61" s="2"/>
      <c r="RE61" s="2"/>
      <c r="RF61" s="2"/>
      <c r="RG61" s="2"/>
      <c r="RH61" s="2"/>
      <c r="RI61" s="2"/>
      <c r="RJ61" s="2"/>
      <c r="RK61" s="2"/>
      <c r="RL61" s="2"/>
      <c r="RM61" s="2"/>
      <c r="RN61" s="2"/>
      <c r="RO61" s="2"/>
      <c r="RP61" s="2"/>
      <c r="RQ61" s="2"/>
      <c r="RR61" s="2"/>
      <c r="RS61" s="2"/>
      <c r="RT61" s="2"/>
      <c r="RU61" s="2"/>
      <c r="RV61" s="2"/>
      <c r="RW61" s="2"/>
      <c r="RX61" s="2"/>
      <c r="RY61" s="2"/>
      <c r="RZ61" s="2"/>
      <c r="SA61" s="2"/>
      <c r="SB61" s="2"/>
      <c r="SC61" s="2"/>
      <c r="SD61" s="2"/>
      <c r="SE61" s="2"/>
      <c r="SF61" s="2"/>
      <c r="SG61" s="2"/>
      <c r="SH61" s="2"/>
      <c r="SI61" s="2"/>
      <c r="SJ61" s="2"/>
      <c r="SK61" s="2"/>
      <c r="SL61" s="2"/>
      <c r="SM61" s="2"/>
      <c r="SN61" s="2"/>
      <c r="SO61" s="2"/>
      <c r="SP61" s="2"/>
      <c r="SQ61" s="2"/>
      <c r="SR61" s="2"/>
      <c r="SS61" s="2"/>
      <c r="ST61" s="2"/>
      <c r="SU61" s="2"/>
      <c r="SV61" s="2"/>
      <c r="SW61" s="2"/>
      <c r="SX61" s="2"/>
      <c r="SY61" s="2"/>
      <c r="SZ61" s="2"/>
      <c r="TA61" s="2"/>
      <c r="TB61" s="2"/>
      <c r="TC61" s="2"/>
      <c r="TD61" s="2"/>
      <c r="TE61" s="2"/>
      <c r="TF61" s="2"/>
      <c r="TG61" s="2"/>
      <c r="TH61" s="2"/>
      <c r="TI61" s="2"/>
      <c r="TJ61" s="2"/>
      <c r="TK61" s="2"/>
      <c r="TL61" s="2"/>
      <c r="TM61" s="2"/>
      <c r="TN61" s="2"/>
      <c r="TO61" s="2"/>
      <c r="TP61" s="2"/>
      <c r="TQ61" s="2"/>
      <c r="TR61" s="2"/>
      <c r="TS61" s="2"/>
      <c r="TT61" s="2"/>
      <c r="TU61" s="2"/>
      <c r="TV61" s="2"/>
      <c r="TW61" s="2"/>
      <c r="TX61" s="2"/>
      <c r="TY61" s="2"/>
      <c r="TZ61" s="2"/>
      <c r="UA61" s="2"/>
      <c r="UB61" s="2"/>
      <c r="UC61" s="2"/>
      <c r="UD61" s="2"/>
      <c r="UE61" s="2"/>
      <c r="UF61" s="2"/>
      <c r="UG61" s="2"/>
      <c r="UH61" s="2"/>
      <c r="UI61" s="2"/>
      <c r="UJ61" s="2"/>
      <c r="UK61" s="2"/>
      <c r="UL61" s="2"/>
      <c r="UM61" s="2"/>
      <c r="UN61" s="2"/>
      <c r="UO61" s="2"/>
      <c r="UP61" s="2"/>
      <c r="UQ61" s="2"/>
      <c r="UR61" s="2"/>
      <c r="US61" s="2"/>
      <c r="UT61" s="2"/>
      <c r="UU61" s="2"/>
      <c r="UV61" s="2"/>
      <c r="UW61" s="2"/>
      <c r="UX61" s="2"/>
      <c r="UY61" s="2"/>
      <c r="UZ61" s="2"/>
      <c r="VA61" s="2"/>
      <c r="VB61" s="2"/>
      <c r="VC61" s="2"/>
      <c r="VD61" s="2"/>
      <c r="VE61" s="2"/>
      <c r="VF61" s="2"/>
      <c r="VG61" s="2"/>
      <c r="VH61" s="2"/>
      <c r="VI61" s="2"/>
      <c r="VJ61" s="2"/>
      <c r="VK61" s="2"/>
      <c r="VL61" s="2"/>
      <c r="VM61" s="2"/>
      <c r="VN61" s="2"/>
      <c r="VO61" s="2"/>
      <c r="VP61" s="2"/>
      <c r="VQ61" s="2"/>
      <c r="VR61" s="2"/>
      <c r="VS61" s="2"/>
      <c r="VT61" s="2"/>
      <c r="VU61" s="2"/>
      <c r="VV61" s="2"/>
      <c r="VW61" s="2"/>
      <c r="VX61" s="2"/>
      <c r="VY61" s="2"/>
      <c r="VZ61" s="2"/>
      <c r="WA61" s="2"/>
      <c r="WB61" s="2"/>
      <c r="WC61" s="2"/>
      <c r="WD61" s="2"/>
      <c r="WE61" s="2"/>
      <c r="WF61" s="2"/>
      <c r="WG61" s="2"/>
      <c r="WH61" s="2"/>
      <c r="WI61" s="2"/>
      <c r="WJ61" s="2"/>
      <c r="WK61" s="2"/>
      <c r="WL61" s="2"/>
      <c r="WM61" s="2"/>
      <c r="WN61" s="2"/>
      <c r="WO61" s="2"/>
      <c r="WP61" s="2"/>
      <c r="WQ61" s="2"/>
      <c r="WR61" s="2"/>
      <c r="WS61" s="2"/>
      <c r="WT61" s="2"/>
      <c r="WU61" s="2"/>
      <c r="WV61" s="2"/>
      <c r="WW61" s="2"/>
      <c r="WX61" s="2"/>
      <c r="WY61" s="2"/>
      <c r="WZ61" s="2"/>
      <c r="XA61" s="2"/>
      <c r="XB61" s="2"/>
      <c r="XC61" s="2"/>
      <c r="XD61" s="2"/>
      <c r="XE61" s="2"/>
      <c r="XF61" s="2"/>
      <c r="XG61" s="2"/>
      <c r="XH61" s="2"/>
      <c r="XI61" s="2"/>
      <c r="XJ61" s="2"/>
      <c r="XK61" s="2"/>
      <c r="XL61" s="2"/>
      <c r="XM61" s="2"/>
      <c r="XN61" s="2"/>
      <c r="XO61" s="2"/>
      <c r="XP61" s="2"/>
      <c r="XQ61" s="2"/>
      <c r="XR61" s="2"/>
      <c r="XS61" s="2"/>
      <c r="XT61" s="2"/>
      <c r="XU61" s="2"/>
      <c r="XV61" s="2"/>
      <c r="XW61" s="2"/>
      <c r="XX61" s="2"/>
      <c r="XY61" s="2"/>
      <c r="XZ61" s="2"/>
      <c r="YA61" s="2"/>
      <c r="YB61" s="2"/>
      <c r="YC61" s="2"/>
      <c r="YD61" s="2"/>
      <c r="YE61" s="2"/>
      <c r="YF61" s="2"/>
      <c r="YG61" s="2"/>
      <c r="YH61" s="2"/>
      <c r="YI61" s="2"/>
      <c r="YJ61" s="2"/>
      <c r="YK61" s="2"/>
      <c r="YL61" s="2"/>
      <c r="YM61" s="2"/>
      <c r="YN61" s="2"/>
      <c r="YO61" s="2"/>
      <c r="YP61" s="2"/>
      <c r="YQ61" s="2"/>
      <c r="YR61" s="2"/>
      <c r="YS61" s="2"/>
      <c r="YT61" s="2"/>
      <c r="YU61" s="2"/>
      <c r="YV61" s="2"/>
      <c r="YW61" s="2"/>
      <c r="YX61" s="2"/>
      <c r="YY61" s="2"/>
      <c r="YZ61" s="2"/>
      <c r="ZA61" s="2"/>
      <c r="ZB61" s="2"/>
      <c r="ZC61" s="2"/>
      <c r="ZD61" s="2"/>
      <c r="ZE61" s="2"/>
      <c r="ZF61" s="2"/>
      <c r="ZG61" s="2"/>
      <c r="ZH61" s="2"/>
      <c r="ZI61" s="2"/>
      <c r="ZJ61" s="2"/>
      <c r="ZK61" s="2"/>
      <c r="ZL61" s="2"/>
      <c r="ZM61" s="2"/>
      <c r="ZN61" s="2"/>
      <c r="ZO61" s="2"/>
      <c r="ZP61" s="2"/>
      <c r="ZQ61" s="2"/>
      <c r="ZR61" s="2"/>
      <c r="ZS61" s="2"/>
      <c r="ZT61" s="2"/>
      <c r="ZU61" s="2"/>
      <c r="ZV61" s="2"/>
      <c r="ZW61" s="2"/>
      <c r="ZX61" s="2"/>
      <c r="ZY61" s="2"/>
      <c r="ZZ61" s="2"/>
      <c r="AAA61" s="2"/>
      <c r="AAB61" s="2"/>
      <c r="AAC61" s="2"/>
      <c r="AAD61" s="2"/>
      <c r="AAE61" s="2"/>
      <c r="AAF61" s="2"/>
      <c r="AAG61" s="2"/>
      <c r="AAH61" s="2"/>
      <c r="AAI61" s="2"/>
      <c r="AAJ61" s="2"/>
      <c r="AAK61" s="2"/>
      <c r="AAL61" s="2"/>
      <c r="AAM61" s="2"/>
      <c r="AAN61" s="2"/>
      <c r="AAO61" s="2"/>
      <c r="AAP61" s="2"/>
      <c r="AAQ61" s="2"/>
      <c r="AAR61" s="2"/>
      <c r="AAS61" s="2"/>
      <c r="AAT61" s="2"/>
      <c r="AAU61" s="2"/>
      <c r="AAV61" s="2"/>
      <c r="AAW61" s="2"/>
      <c r="AAX61" s="2"/>
      <c r="AAY61" s="2"/>
      <c r="AAZ61" s="2"/>
      <c r="ABA61" s="2"/>
      <c r="ABB61" s="2"/>
      <c r="ABC61" s="2"/>
      <c r="ABD61" s="2"/>
      <c r="ABE61" s="2"/>
      <c r="ABF61" s="2"/>
      <c r="ABG61" s="2"/>
      <c r="ABH61" s="2"/>
      <c r="ABI61" s="2"/>
      <c r="ABJ61" s="2"/>
      <c r="ABK61" s="2"/>
      <c r="ABL61" s="2"/>
      <c r="ABM61" s="2"/>
      <c r="ABN61" s="2"/>
      <c r="ABO61" s="2"/>
      <c r="ABP61" s="2"/>
      <c r="ABQ61" s="2"/>
      <c r="ABR61" s="2"/>
      <c r="ABS61" s="2"/>
      <c r="ABT61" s="2"/>
      <c r="ABU61" s="2"/>
      <c r="ABV61" s="2"/>
      <c r="ABW61" s="2"/>
      <c r="ABX61" s="2"/>
      <c r="ABY61" s="2"/>
      <c r="ABZ61" s="2"/>
      <c r="ACA61" s="2"/>
      <c r="ACB61" s="2"/>
      <c r="ACC61" s="2"/>
      <c r="ACD61" s="2"/>
      <c r="ACE61" s="2"/>
      <c r="ACF61" s="2"/>
      <c r="ACG61" s="2"/>
      <c r="ACH61" s="2"/>
      <c r="ACI61" s="2"/>
      <c r="ACJ61" s="2"/>
      <c r="ACK61" s="2"/>
      <c r="ACL61" s="2"/>
      <c r="ACM61" s="2"/>
      <c r="ACN61" s="2"/>
      <c r="ACO61" s="2"/>
      <c r="ACP61" s="2"/>
      <c r="ACQ61" s="2"/>
      <c r="ACR61" s="2"/>
      <c r="ACS61" s="2"/>
      <c r="ACT61" s="2"/>
      <c r="ACU61" s="2"/>
      <c r="ACV61" s="2"/>
      <c r="ACW61" s="2"/>
      <c r="ACX61" s="2"/>
      <c r="ACY61" s="2"/>
      <c r="ACZ61" s="2"/>
      <c r="ADA61" s="2"/>
      <c r="ADB61" s="2"/>
      <c r="ADC61" s="2"/>
      <c r="ADD61" s="2"/>
      <c r="ADE61" s="2"/>
      <c r="ADF61" s="2"/>
      <c r="ADG61" s="2"/>
      <c r="ADH61" s="2"/>
      <c r="ADI61" s="2"/>
      <c r="ADJ61" s="2"/>
      <c r="ADK61" s="2"/>
      <c r="ADL61" s="2"/>
      <c r="ADM61" s="2"/>
      <c r="ADN61" s="2"/>
      <c r="ADO61" s="2"/>
      <c r="ADP61" s="2"/>
      <c r="ADQ61" s="2"/>
      <c r="ADR61" s="2"/>
      <c r="ADS61" s="2"/>
      <c r="ADT61" s="2"/>
      <c r="ADU61" s="2"/>
      <c r="ADV61" s="2"/>
      <c r="ADW61" s="2"/>
      <c r="ADX61" s="2"/>
      <c r="ADY61" s="2"/>
      <c r="ADZ61" s="2"/>
      <c r="AEA61" s="2"/>
      <c r="AEB61" s="2"/>
      <c r="AEC61" s="2"/>
      <c r="AED61" s="2"/>
      <c r="AEE61" s="2"/>
      <c r="AEF61" s="2"/>
      <c r="AEG61" s="2"/>
      <c r="AEH61" s="2"/>
      <c r="AEI61" s="2"/>
      <c r="AEJ61" s="2"/>
      <c r="AEK61" s="2"/>
      <c r="AEL61" s="2"/>
      <c r="AEM61" s="2"/>
      <c r="AEN61" s="2"/>
      <c r="AEO61" s="2"/>
      <c r="AEP61" s="2"/>
      <c r="AEQ61" s="2"/>
      <c r="AER61" s="2"/>
      <c r="AES61" s="2"/>
      <c r="AET61" s="2"/>
      <c r="AEU61" s="2"/>
      <c r="AEV61" s="2"/>
      <c r="AEW61" s="2"/>
      <c r="AEX61" s="2"/>
      <c r="AEY61" s="2"/>
      <c r="AEZ61" s="2"/>
      <c r="AFA61" s="2"/>
      <c r="AFB61" s="2"/>
      <c r="AFC61" s="2"/>
      <c r="AFD61" s="2"/>
      <c r="AFE61" s="2"/>
      <c r="AFF61" s="2"/>
      <c r="AFG61" s="2"/>
      <c r="AFH61" s="2"/>
      <c r="AFI61" s="2"/>
      <c r="AFJ61" s="2"/>
      <c r="AFK61" s="2"/>
      <c r="AFL61" s="2"/>
      <c r="AFM61" s="2"/>
      <c r="AFN61" s="2"/>
      <c r="AFO61" s="2"/>
      <c r="AFP61" s="2"/>
      <c r="AFQ61" s="2"/>
      <c r="AFR61" s="2"/>
      <c r="AFS61" s="2"/>
      <c r="AFT61" s="2"/>
      <c r="AFU61" s="2"/>
      <c r="AFV61" s="2"/>
      <c r="AFW61" s="2"/>
      <c r="AFX61" s="2"/>
      <c r="AFY61" s="2"/>
      <c r="AFZ61" s="2"/>
      <c r="AGA61" s="2"/>
      <c r="AGB61" s="2"/>
      <c r="AGC61" s="2"/>
      <c r="AGD61" s="2"/>
      <c r="AGE61" s="2"/>
      <c r="AGF61" s="2"/>
      <c r="AGG61" s="2"/>
      <c r="AGH61" s="2"/>
      <c r="AGI61" s="2"/>
      <c r="AGJ61" s="2"/>
      <c r="AGK61" s="2"/>
      <c r="AGL61" s="2"/>
      <c r="AGM61" s="2"/>
      <c r="AGN61" s="2"/>
      <c r="AGO61" s="2"/>
      <c r="AGP61" s="2"/>
      <c r="AGQ61" s="2"/>
      <c r="AGR61" s="2"/>
      <c r="AGS61" s="2"/>
      <c r="AGT61" s="2"/>
      <c r="AGU61" s="2"/>
      <c r="AGV61" s="2"/>
      <c r="AGW61" s="2"/>
      <c r="AGX61" s="2"/>
      <c r="AGY61" s="2"/>
      <c r="AGZ61" s="2"/>
      <c r="AHA61" s="2"/>
      <c r="AHB61" s="2"/>
      <c r="AHC61" s="2"/>
      <c r="AHD61" s="2"/>
      <c r="AHE61" s="2"/>
      <c r="AHF61" s="2"/>
      <c r="AHG61" s="2"/>
      <c r="AHH61" s="2"/>
      <c r="AHI61" s="2"/>
      <c r="AHJ61" s="2"/>
      <c r="AHK61" s="2"/>
      <c r="AHL61" s="2"/>
      <c r="AHM61" s="2"/>
      <c r="AHN61" s="2"/>
      <c r="AHO61" s="2"/>
      <c r="AHP61" s="2"/>
      <c r="AHQ61" s="2"/>
      <c r="AHR61" s="2"/>
      <c r="AHS61" s="2"/>
      <c r="AHT61" s="2"/>
      <c r="AHU61" s="2"/>
      <c r="AHV61" s="2"/>
      <c r="AHW61" s="2"/>
      <c r="AHX61" s="2"/>
      <c r="AHY61" s="2"/>
      <c r="AHZ61" s="2"/>
      <c r="AIA61" s="2"/>
      <c r="AIB61" s="2"/>
      <c r="AIC61" s="2"/>
      <c r="AID61" s="2"/>
      <c r="AIE61" s="2"/>
      <c r="AIF61" s="2"/>
      <c r="AIG61" s="2"/>
      <c r="AIH61" s="2"/>
      <c r="AII61" s="2"/>
      <c r="AIJ61" s="2"/>
      <c r="AIK61" s="2"/>
      <c r="AIL61" s="2"/>
      <c r="AIM61" s="2"/>
      <c r="AIN61" s="2"/>
      <c r="AIO61" s="2"/>
      <c r="AIP61" s="2"/>
      <c r="AIQ61" s="2"/>
      <c r="AIR61" s="2"/>
      <c r="AIS61" s="2"/>
      <c r="AIT61" s="2"/>
      <c r="AIU61" s="2"/>
      <c r="AIV61" s="2"/>
      <c r="AIW61" s="2"/>
      <c r="AIX61" s="2"/>
      <c r="AIY61" s="2"/>
      <c r="AIZ61" s="2"/>
      <c r="AJA61" s="2"/>
      <c r="AJB61" s="2"/>
      <c r="AJC61" s="2"/>
      <c r="AJD61" s="2"/>
      <c r="AJE61" s="2"/>
      <c r="AJF61" s="2"/>
      <c r="AJG61" s="2"/>
      <c r="AJH61" s="2"/>
      <c r="AJI61" s="2"/>
      <c r="AJJ61" s="2"/>
      <c r="AJK61" s="2"/>
      <c r="AJL61" s="2"/>
      <c r="AJM61" s="2"/>
      <c r="AJN61" s="2"/>
      <c r="AJO61" s="2"/>
      <c r="AJP61" s="2"/>
      <c r="AJQ61" s="2"/>
      <c r="AJR61" s="2"/>
      <c r="AJS61" s="2"/>
      <c r="AJT61" s="2"/>
      <c r="AJU61" s="2"/>
      <c r="AJV61" s="2"/>
      <c r="AJW61" s="2"/>
      <c r="AJX61" s="2"/>
      <c r="AJY61" s="2"/>
      <c r="AJZ61" s="2"/>
    </row>
    <row r="62" spans="1:962">
      <c r="A62" s="16">
        <v>61</v>
      </c>
      <c r="B62" s="16">
        <v>1</v>
      </c>
      <c r="C62" s="16">
        <v>14.93</v>
      </c>
      <c r="D62" s="9">
        <v>7.84</v>
      </c>
      <c r="E62" s="9">
        <v>3.93</v>
      </c>
      <c r="F62" s="9">
        <v>0.31</v>
      </c>
      <c r="G62" s="16">
        <v>295</v>
      </c>
      <c r="H62" s="17">
        <v>2</v>
      </c>
      <c r="I62" s="9">
        <f t="shared" si="0"/>
        <v>1.9949109414758268</v>
      </c>
      <c r="J62" s="9">
        <f t="shared" si="1"/>
        <v>7.8880407124681931E-2</v>
      </c>
      <c r="K62" s="9">
        <f t="shared" si="2"/>
        <v>75.063613231552154</v>
      </c>
      <c r="L62" s="9">
        <f t="shared" si="3"/>
        <v>588.49872773536902</v>
      </c>
      <c r="M62" s="16">
        <v>12</v>
      </c>
      <c r="N62" s="16" t="s">
        <v>30</v>
      </c>
      <c r="O62" s="9">
        <v>5.6</v>
      </c>
      <c r="P62" s="16">
        <v>14.93</v>
      </c>
      <c r="Q62" s="9">
        <v>7.84</v>
      </c>
      <c r="R62" s="9">
        <v>3.93</v>
      </c>
      <c r="S62" s="9">
        <v>0.31</v>
      </c>
      <c r="T62" s="9"/>
      <c r="U62" s="9"/>
      <c r="V62" s="9"/>
      <c r="W62" s="18">
        <v>8.41</v>
      </c>
      <c r="X62" s="19">
        <v>117</v>
      </c>
      <c r="Y62" s="16">
        <v>0.38</v>
      </c>
      <c r="Z62" s="16"/>
      <c r="AA62" s="16">
        <v>0.4</v>
      </c>
      <c r="AB62" s="16">
        <v>3.1E-2</v>
      </c>
      <c r="AC62" s="9">
        <v>151.5</v>
      </c>
      <c r="AD62" s="9">
        <v>4.4800000000000004</v>
      </c>
      <c r="AE62" s="9">
        <v>121</v>
      </c>
      <c r="AF62" s="9">
        <v>2.37</v>
      </c>
      <c r="AG62" s="9">
        <v>1.53</v>
      </c>
      <c r="AH62" s="9">
        <v>9.59</v>
      </c>
      <c r="AI62" s="9">
        <v>126.35</v>
      </c>
      <c r="AJ62" s="9">
        <v>8.41</v>
      </c>
      <c r="AK62" s="9">
        <v>117</v>
      </c>
      <c r="AL62" s="9">
        <v>0.38</v>
      </c>
      <c r="AM62" s="16"/>
      <c r="AN62" s="16"/>
      <c r="AP62" s="16">
        <v>9</v>
      </c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  <c r="JC62" s="2"/>
      <c r="JD62" s="2"/>
      <c r="JE62" s="2"/>
      <c r="JF62" s="2"/>
      <c r="JG62" s="2"/>
      <c r="JH62" s="2"/>
      <c r="JI62" s="2"/>
      <c r="JJ62" s="2"/>
      <c r="JK62" s="2"/>
      <c r="JL62" s="2"/>
      <c r="JM62" s="2"/>
      <c r="JN62" s="2"/>
      <c r="JO62" s="2"/>
      <c r="JP62" s="2"/>
      <c r="JQ62" s="2"/>
      <c r="JR62" s="2"/>
      <c r="JS62" s="2"/>
      <c r="JT62" s="2"/>
      <c r="JU62" s="2"/>
      <c r="JV62" s="2"/>
      <c r="JW62" s="2"/>
      <c r="JX62" s="2"/>
      <c r="JY62" s="2"/>
      <c r="JZ62" s="2"/>
      <c r="KA62" s="2"/>
      <c r="KB62" s="2"/>
      <c r="KC62" s="2"/>
      <c r="KD62" s="2"/>
      <c r="KE62" s="2"/>
      <c r="KF62" s="2"/>
      <c r="KG62" s="2"/>
      <c r="KH62" s="2"/>
      <c r="KI62" s="2"/>
      <c r="KJ62" s="2"/>
      <c r="KK62" s="2"/>
      <c r="KL62" s="2"/>
      <c r="KM62" s="2"/>
      <c r="KN62" s="2"/>
      <c r="KO62" s="2"/>
      <c r="KP62" s="2"/>
      <c r="KQ62" s="2"/>
      <c r="KR62" s="2"/>
      <c r="KS62" s="2"/>
      <c r="KT62" s="2"/>
      <c r="KU62" s="2"/>
      <c r="KV62" s="2"/>
      <c r="KW62" s="2"/>
      <c r="KX62" s="2"/>
      <c r="KY62" s="2"/>
      <c r="KZ62" s="2"/>
      <c r="LA62" s="2"/>
      <c r="LB62" s="2"/>
      <c r="LC62" s="2"/>
      <c r="LD62" s="2"/>
      <c r="LE62" s="2"/>
      <c r="LF62" s="2"/>
      <c r="LG62" s="2"/>
      <c r="LH62" s="2"/>
      <c r="LI62" s="2"/>
      <c r="LJ62" s="2"/>
      <c r="LK62" s="2"/>
      <c r="LL62" s="2"/>
      <c r="LM62" s="2"/>
      <c r="LN62" s="2"/>
      <c r="LO62" s="2"/>
      <c r="LP62" s="2"/>
      <c r="LQ62" s="2"/>
      <c r="LR62" s="2"/>
      <c r="LS62" s="2"/>
      <c r="LT62" s="2"/>
      <c r="LU62" s="2"/>
      <c r="LV62" s="2"/>
      <c r="LW62" s="2"/>
      <c r="LX62" s="2"/>
      <c r="LY62" s="2"/>
      <c r="LZ62" s="2"/>
      <c r="MA62" s="2"/>
      <c r="MB62" s="2"/>
      <c r="MC62" s="2"/>
      <c r="MD62" s="2"/>
      <c r="ME62" s="2"/>
      <c r="MF62" s="2"/>
      <c r="MG62" s="2"/>
      <c r="MH62" s="2"/>
      <c r="MI62" s="2"/>
      <c r="MJ62" s="2"/>
      <c r="MK62" s="2"/>
      <c r="ML62" s="2"/>
      <c r="MM62" s="2"/>
      <c r="MN62" s="2"/>
      <c r="MO62" s="2"/>
      <c r="MP62" s="2"/>
      <c r="MQ62" s="2"/>
      <c r="MR62" s="2"/>
      <c r="MS62" s="2"/>
      <c r="MT62" s="2"/>
      <c r="MU62" s="2"/>
      <c r="MV62" s="2"/>
      <c r="MW62" s="2"/>
      <c r="MX62" s="2"/>
      <c r="MY62" s="2"/>
      <c r="MZ62" s="2"/>
      <c r="NA62" s="2"/>
      <c r="NB62" s="2"/>
      <c r="NC62" s="2"/>
      <c r="ND62" s="2"/>
      <c r="NE62" s="2"/>
      <c r="NF62" s="2"/>
      <c r="NG62" s="2"/>
      <c r="NH62" s="2"/>
      <c r="NI62" s="2"/>
      <c r="NJ62" s="2"/>
      <c r="NK62" s="2"/>
      <c r="NL62" s="2"/>
      <c r="NM62" s="2"/>
      <c r="NN62" s="2"/>
      <c r="NO62" s="2"/>
      <c r="NP62" s="2"/>
      <c r="NQ62" s="2"/>
      <c r="NR62" s="2"/>
      <c r="NS62" s="2"/>
      <c r="NT62" s="2"/>
      <c r="NU62" s="2"/>
      <c r="NV62" s="2"/>
      <c r="NW62" s="2"/>
      <c r="NX62" s="2"/>
      <c r="NY62" s="2"/>
      <c r="NZ62" s="2"/>
      <c r="OA62" s="2"/>
      <c r="OB62" s="2"/>
      <c r="OC62" s="2"/>
      <c r="OD62" s="2"/>
      <c r="OE62" s="2"/>
      <c r="OF62" s="2"/>
      <c r="OG62" s="2"/>
      <c r="OH62" s="2"/>
      <c r="OI62" s="2"/>
      <c r="OJ62" s="2"/>
      <c r="OK62" s="2"/>
      <c r="OL62" s="2"/>
      <c r="OM62" s="2"/>
      <c r="ON62" s="2"/>
      <c r="OO62" s="2"/>
      <c r="OP62" s="2"/>
      <c r="OQ62" s="2"/>
      <c r="OR62" s="2"/>
      <c r="OS62" s="2"/>
      <c r="OT62" s="2"/>
      <c r="OU62" s="2"/>
      <c r="OV62" s="2"/>
      <c r="OW62" s="2"/>
      <c r="OX62" s="2"/>
      <c r="OY62" s="2"/>
      <c r="OZ62" s="2"/>
      <c r="PA62" s="2"/>
      <c r="PB62" s="2"/>
      <c r="PC62" s="2"/>
      <c r="PD62" s="2"/>
      <c r="PE62" s="2"/>
      <c r="PF62" s="2"/>
      <c r="PG62" s="2"/>
      <c r="PH62" s="2"/>
      <c r="PI62" s="2"/>
      <c r="PJ62" s="2"/>
      <c r="PK62" s="2"/>
      <c r="PL62" s="2"/>
      <c r="PM62" s="2"/>
      <c r="PN62" s="2"/>
      <c r="PO62" s="2"/>
      <c r="PP62" s="2"/>
      <c r="PQ62" s="2"/>
      <c r="PR62" s="2"/>
      <c r="PS62" s="2"/>
      <c r="PT62" s="2"/>
      <c r="PU62" s="2"/>
      <c r="PV62" s="2"/>
      <c r="PW62" s="2"/>
      <c r="PX62" s="2"/>
      <c r="PY62" s="2"/>
      <c r="PZ62" s="2"/>
      <c r="QA62" s="2"/>
      <c r="QB62" s="2"/>
      <c r="QC62" s="2"/>
      <c r="QD62" s="2"/>
      <c r="QE62" s="2"/>
      <c r="QF62" s="2"/>
      <c r="QG62" s="2"/>
      <c r="QH62" s="2"/>
      <c r="QI62" s="2"/>
      <c r="QJ62" s="2"/>
      <c r="QK62" s="2"/>
      <c r="QL62" s="2"/>
      <c r="QM62" s="2"/>
      <c r="QN62" s="2"/>
      <c r="QO62" s="2"/>
      <c r="QP62" s="2"/>
      <c r="QQ62" s="2"/>
      <c r="QR62" s="2"/>
      <c r="QS62" s="2"/>
      <c r="QT62" s="2"/>
      <c r="QU62" s="2"/>
      <c r="QV62" s="2"/>
      <c r="QW62" s="2"/>
      <c r="QX62" s="2"/>
      <c r="QY62" s="2"/>
      <c r="QZ62" s="2"/>
      <c r="RA62" s="2"/>
      <c r="RB62" s="2"/>
      <c r="RC62" s="2"/>
      <c r="RD62" s="2"/>
      <c r="RE62" s="2"/>
      <c r="RF62" s="2"/>
      <c r="RG62" s="2"/>
      <c r="RH62" s="2"/>
      <c r="RI62" s="2"/>
      <c r="RJ62" s="2"/>
      <c r="RK62" s="2"/>
      <c r="RL62" s="2"/>
      <c r="RM62" s="2"/>
      <c r="RN62" s="2"/>
      <c r="RO62" s="2"/>
      <c r="RP62" s="2"/>
      <c r="RQ62" s="2"/>
      <c r="RR62" s="2"/>
      <c r="RS62" s="2"/>
      <c r="RT62" s="2"/>
      <c r="RU62" s="2"/>
      <c r="RV62" s="2"/>
      <c r="RW62" s="2"/>
      <c r="RX62" s="2"/>
      <c r="RY62" s="2"/>
      <c r="RZ62" s="2"/>
      <c r="SA62" s="2"/>
      <c r="SB62" s="2"/>
      <c r="SC62" s="2"/>
      <c r="SD62" s="2"/>
      <c r="SE62" s="2"/>
      <c r="SF62" s="2"/>
      <c r="SG62" s="2"/>
      <c r="SH62" s="2"/>
      <c r="SI62" s="2"/>
      <c r="SJ62" s="2"/>
      <c r="SK62" s="2"/>
      <c r="SL62" s="2"/>
      <c r="SM62" s="2"/>
      <c r="SN62" s="2"/>
      <c r="SO62" s="2"/>
      <c r="SP62" s="2"/>
      <c r="SQ62" s="2"/>
      <c r="SR62" s="2"/>
      <c r="SS62" s="2"/>
      <c r="ST62" s="2"/>
      <c r="SU62" s="2"/>
      <c r="SV62" s="2"/>
      <c r="SW62" s="2"/>
      <c r="SX62" s="2"/>
      <c r="SY62" s="2"/>
      <c r="SZ62" s="2"/>
      <c r="TA62" s="2"/>
      <c r="TB62" s="2"/>
      <c r="TC62" s="2"/>
      <c r="TD62" s="2"/>
      <c r="TE62" s="2"/>
      <c r="TF62" s="2"/>
      <c r="TG62" s="2"/>
      <c r="TH62" s="2"/>
      <c r="TI62" s="2"/>
      <c r="TJ62" s="2"/>
      <c r="TK62" s="2"/>
      <c r="TL62" s="2"/>
      <c r="TM62" s="2"/>
      <c r="TN62" s="2"/>
      <c r="TO62" s="2"/>
      <c r="TP62" s="2"/>
      <c r="TQ62" s="2"/>
      <c r="TR62" s="2"/>
      <c r="TS62" s="2"/>
      <c r="TT62" s="2"/>
      <c r="TU62" s="2"/>
      <c r="TV62" s="2"/>
      <c r="TW62" s="2"/>
      <c r="TX62" s="2"/>
      <c r="TY62" s="2"/>
      <c r="TZ62" s="2"/>
      <c r="UA62" s="2"/>
      <c r="UB62" s="2"/>
      <c r="UC62" s="2"/>
      <c r="UD62" s="2"/>
      <c r="UE62" s="2"/>
      <c r="UF62" s="2"/>
      <c r="UG62" s="2"/>
      <c r="UH62" s="2"/>
      <c r="UI62" s="2"/>
      <c r="UJ62" s="2"/>
      <c r="UK62" s="2"/>
      <c r="UL62" s="2"/>
      <c r="UM62" s="2"/>
      <c r="UN62" s="2"/>
      <c r="UO62" s="2"/>
      <c r="UP62" s="2"/>
      <c r="UQ62" s="2"/>
      <c r="UR62" s="2"/>
      <c r="US62" s="2"/>
      <c r="UT62" s="2"/>
      <c r="UU62" s="2"/>
      <c r="UV62" s="2"/>
      <c r="UW62" s="2"/>
      <c r="UX62" s="2"/>
      <c r="UY62" s="2"/>
      <c r="UZ62" s="2"/>
      <c r="VA62" s="2"/>
      <c r="VB62" s="2"/>
      <c r="VC62" s="2"/>
      <c r="VD62" s="2"/>
      <c r="VE62" s="2"/>
      <c r="VF62" s="2"/>
      <c r="VG62" s="2"/>
      <c r="VH62" s="2"/>
      <c r="VI62" s="2"/>
      <c r="VJ62" s="2"/>
      <c r="VK62" s="2"/>
      <c r="VL62" s="2"/>
      <c r="VM62" s="2"/>
      <c r="VN62" s="2"/>
      <c r="VO62" s="2"/>
      <c r="VP62" s="2"/>
      <c r="VQ62" s="2"/>
      <c r="VR62" s="2"/>
      <c r="VS62" s="2"/>
      <c r="VT62" s="2"/>
      <c r="VU62" s="2"/>
      <c r="VV62" s="2"/>
      <c r="VW62" s="2"/>
      <c r="VX62" s="2"/>
      <c r="VY62" s="2"/>
      <c r="VZ62" s="2"/>
      <c r="WA62" s="2"/>
      <c r="WB62" s="2"/>
      <c r="WC62" s="2"/>
      <c r="WD62" s="2"/>
      <c r="WE62" s="2"/>
      <c r="WF62" s="2"/>
      <c r="WG62" s="2"/>
      <c r="WH62" s="2"/>
      <c r="WI62" s="2"/>
      <c r="WJ62" s="2"/>
      <c r="WK62" s="2"/>
      <c r="WL62" s="2"/>
      <c r="WM62" s="2"/>
      <c r="WN62" s="2"/>
      <c r="WO62" s="2"/>
      <c r="WP62" s="2"/>
      <c r="WQ62" s="2"/>
      <c r="WR62" s="2"/>
      <c r="WS62" s="2"/>
      <c r="WT62" s="2"/>
      <c r="WU62" s="2"/>
      <c r="WV62" s="2"/>
      <c r="WW62" s="2"/>
      <c r="WX62" s="2"/>
      <c r="WY62" s="2"/>
      <c r="WZ62" s="2"/>
      <c r="XA62" s="2"/>
      <c r="XB62" s="2"/>
      <c r="XC62" s="2"/>
      <c r="XD62" s="2"/>
      <c r="XE62" s="2"/>
      <c r="XF62" s="2"/>
      <c r="XG62" s="2"/>
      <c r="XH62" s="2"/>
      <c r="XI62" s="2"/>
      <c r="XJ62" s="2"/>
      <c r="XK62" s="2"/>
      <c r="XL62" s="2"/>
      <c r="XM62" s="2"/>
      <c r="XN62" s="2"/>
      <c r="XO62" s="2"/>
      <c r="XP62" s="2"/>
      <c r="XQ62" s="2"/>
      <c r="XR62" s="2"/>
      <c r="XS62" s="2"/>
      <c r="XT62" s="2"/>
      <c r="XU62" s="2"/>
      <c r="XV62" s="2"/>
      <c r="XW62" s="2"/>
      <c r="XX62" s="2"/>
      <c r="XY62" s="2"/>
      <c r="XZ62" s="2"/>
      <c r="YA62" s="2"/>
      <c r="YB62" s="2"/>
      <c r="YC62" s="2"/>
      <c r="YD62" s="2"/>
      <c r="YE62" s="2"/>
      <c r="YF62" s="2"/>
      <c r="YG62" s="2"/>
      <c r="YH62" s="2"/>
      <c r="YI62" s="2"/>
      <c r="YJ62" s="2"/>
      <c r="YK62" s="2"/>
      <c r="YL62" s="2"/>
      <c r="YM62" s="2"/>
      <c r="YN62" s="2"/>
      <c r="YO62" s="2"/>
      <c r="YP62" s="2"/>
      <c r="YQ62" s="2"/>
      <c r="YR62" s="2"/>
      <c r="YS62" s="2"/>
      <c r="YT62" s="2"/>
      <c r="YU62" s="2"/>
      <c r="YV62" s="2"/>
      <c r="YW62" s="2"/>
      <c r="YX62" s="2"/>
      <c r="YY62" s="2"/>
      <c r="YZ62" s="2"/>
      <c r="ZA62" s="2"/>
      <c r="ZB62" s="2"/>
      <c r="ZC62" s="2"/>
      <c r="ZD62" s="2"/>
      <c r="ZE62" s="2"/>
      <c r="ZF62" s="2"/>
      <c r="ZG62" s="2"/>
      <c r="ZH62" s="2"/>
      <c r="ZI62" s="2"/>
      <c r="ZJ62" s="2"/>
      <c r="ZK62" s="2"/>
      <c r="ZL62" s="2"/>
      <c r="ZM62" s="2"/>
      <c r="ZN62" s="2"/>
      <c r="ZO62" s="2"/>
      <c r="ZP62" s="2"/>
      <c r="ZQ62" s="2"/>
      <c r="ZR62" s="2"/>
      <c r="ZS62" s="2"/>
      <c r="ZT62" s="2"/>
      <c r="ZU62" s="2"/>
      <c r="ZV62" s="2"/>
      <c r="ZW62" s="2"/>
      <c r="ZX62" s="2"/>
      <c r="ZY62" s="2"/>
      <c r="ZZ62" s="2"/>
      <c r="AAA62" s="2"/>
      <c r="AAB62" s="2"/>
      <c r="AAC62" s="2"/>
      <c r="AAD62" s="2"/>
      <c r="AAE62" s="2"/>
      <c r="AAF62" s="2"/>
      <c r="AAG62" s="2"/>
      <c r="AAH62" s="2"/>
      <c r="AAI62" s="2"/>
      <c r="AAJ62" s="2"/>
      <c r="AAK62" s="2"/>
      <c r="AAL62" s="2"/>
      <c r="AAM62" s="2"/>
      <c r="AAN62" s="2"/>
      <c r="AAO62" s="2"/>
      <c r="AAP62" s="2"/>
      <c r="AAQ62" s="2"/>
      <c r="AAR62" s="2"/>
      <c r="AAS62" s="2"/>
      <c r="AAT62" s="2"/>
      <c r="AAU62" s="2"/>
      <c r="AAV62" s="2"/>
      <c r="AAW62" s="2"/>
      <c r="AAX62" s="2"/>
      <c r="AAY62" s="2"/>
      <c r="AAZ62" s="2"/>
      <c r="ABA62" s="2"/>
      <c r="ABB62" s="2"/>
      <c r="ABC62" s="2"/>
      <c r="ABD62" s="2"/>
      <c r="ABE62" s="2"/>
      <c r="ABF62" s="2"/>
      <c r="ABG62" s="2"/>
      <c r="ABH62" s="2"/>
      <c r="ABI62" s="2"/>
      <c r="ABJ62" s="2"/>
      <c r="ABK62" s="2"/>
      <c r="ABL62" s="2"/>
      <c r="ABM62" s="2"/>
      <c r="ABN62" s="2"/>
      <c r="ABO62" s="2"/>
      <c r="ABP62" s="2"/>
      <c r="ABQ62" s="2"/>
      <c r="ABR62" s="2"/>
      <c r="ABS62" s="2"/>
      <c r="ABT62" s="2"/>
      <c r="ABU62" s="2"/>
      <c r="ABV62" s="2"/>
      <c r="ABW62" s="2"/>
      <c r="ABX62" s="2"/>
      <c r="ABY62" s="2"/>
      <c r="ABZ62" s="2"/>
      <c r="ACA62" s="2"/>
      <c r="ACB62" s="2"/>
      <c r="ACC62" s="2"/>
      <c r="ACD62" s="2"/>
      <c r="ACE62" s="2"/>
      <c r="ACF62" s="2"/>
      <c r="ACG62" s="2"/>
      <c r="ACH62" s="2"/>
      <c r="ACI62" s="2"/>
      <c r="ACJ62" s="2"/>
      <c r="ACK62" s="2"/>
      <c r="ACL62" s="2"/>
      <c r="ACM62" s="2"/>
      <c r="ACN62" s="2"/>
      <c r="ACO62" s="2"/>
      <c r="ACP62" s="2"/>
      <c r="ACQ62" s="2"/>
      <c r="ACR62" s="2"/>
      <c r="ACS62" s="2"/>
      <c r="ACT62" s="2"/>
      <c r="ACU62" s="2"/>
      <c r="ACV62" s="2"/>
      <c r="ACW62" s="2"/>
      <c r="ACX62" s="2"/>
      <c r="ACY62" s="2"/>
      <c r="ACZ62" s="2"/>
      <c r="ADA62" s="2"/>
      <c r="ADB62" s="2"/>
      <c r="ADC62" s="2"/>
      <c r="ADD62" s="2"/>
      <c r="ADE62" s="2"/>
      <c r="ADF62" s="2"/>
      <c r="ADG62" s="2"/>
      <c r="ADH62" s="2"/>
      <c r="ADI62" s="2"/>
      <c r="ADJ62" s="2"/>
      <c r="ADK62" s="2"/>
      <c r="ADL62" s="2"/>
      <c r="ADM62" s="2"/>
      <c r="ADN62" s="2"/>
      <c r="ADO62" s="2"/>
      <c r="ADP62" s="2"/>
      <c r="ADQ62" s="2"/>
      <c r="ADR62" s="2"/>
      <c r="ADS62" s="2"/>
      <c r="ADT62" s="2"/>
      <c r="ADU62" s="2"/>
      <c r="ADV62" s="2"/>
      <c r="ADW62" s="2"/>
      <c r="ADX62" s="2"/>
      <c r="ADY62" s="2"/>
      <c r="ADZ62" s="2"/>
      <c r="AEA62" s="2"/>
      <c r="AEB62" s="2"/>
      <c r="AEC62" s="2"/>
      <c r="AED62" s="2"/>
      <c r="AEE62" s="2"/>
      <c r="AEF62" s="2"/>
      <c r="AEG62" s="2"/>
      <c r="AEH62" s="2"/>
      <c r="AEI62" s="2"/>
      <c r="AEJ62" s="2"/>
      <c r="AEK62" s="2"/>
      <c r="AEL62" s="2"/>
      <c r="AEM62" s="2"/>
      <c r="AEN62" s="2"/>
      <c r="AEO62" s="2"/>
      <c r="AEP62" s="2"/>
      <c r="AEQ62" s="2"/>
      <c r="AER62" s="2"/>
      <c r="AES62" s="2"/>
      <c r="AET62" s="2"/>
      <c r="AEU62" s="2"/>
      <c r="AEV62" s="2"/>
      <c r="AEW62" s="2"/>
      <c r="AEX62" s="2"/>
      <c r="AEY62" s="2"/>
      <c r="AEZ62" s="2"/>
      <c r="AFA62" s="2"/>
      <c r="AFB62" s="2"/>
      <c r="AFC62" s="2"/>
      <c r="AFD62" s="2"/>
      <c r="AFE62" s="2"/>
      <c r="AFF62" s="2"/>
      <c r="AFG62" s="2"/>
      <c r="AFH62" s="2"/>
      <c r="AFI62" s="2"/>
      <c r="AFJ62" s="2"/>
      <c r="AFK62" s="2"/>
      <c r="AFL62" s="2"/>
      <c r="AFM62" s="2"/>
      <c r="AFN62" s="2"/>
      <c r="AFO62" s="2"/>
      <c r="AFP62" s="2"/>
      <c r="AFQ62" s="2"/>
      <c r="AFR62" s="2"/>
      <c r="AFS62" s="2"/>
      <c r="AFT62" s="2"/>
      <c r="AFU62" s="2"/>
      <c r="AFV62" s="2"/>
      <c r="AFW62" s="2"/>
      <c r="AFX62" s="2"/>
      <c r="AFY62" s="2"/>
      <c r="AFZ62" s="2"/>
      <c r="AGA62" s="2"/>
      <c r="AGB62" s="2"/>
      <c r="AGC62" s="2"/>
      <c r="AGD62" s="2"/>
      <c r="AGE62" s="2"/>
      <c r="AGF62" s="2"/>
      <c r="AGG62" s="2"/>
      <c r="AGH62" s="2"/>
      <c r="AGI62" s="2"/>
      <c r="AGJ62" s="2"/>
      <c r="AGK62" s="2"/>
      <c r="AGL62" s="2"/>
      <c r="AGM62" s="2"/>
      <c r="AGN62" s="2"/>
      <c r="AGO62" s="2"/>
      <c r="AGP62" s="2"/>
      <c r="AGQ62" s="2"/>
      <c r="AGR62" s="2"/>
      <c r="AGS62" s="2"/>
      <c r="AGT62" s="2"/>
      <c r="AGU62" s="2"/>
      <c r="AGV62" s="2"/>
      <c r="AGW62" s="2"/>
      <c r="AGX62" s="2"/>
      <c r="AGY62" s="2"/>
      <c r="AGZ62" s="2"/>
      <c r="AHA62" s="2"/>
      <c r="AHB62" s="2"/>
      <c r="AHC62" s="2"/>
      <c r="AHD62" s="2"/>
      <c r="AHE62" s="2"/>
      <c r="AHF62" s="2"/>
      <c r="AHG62" s="2"/>
      <c r="AHH62" s="2"/>
      <c r="AHI62" s="2"/>
      <c r="AHJ62" s="2"/>
      <c r="AHK62" s="2"/>
      <c r="AHL62" s="2"/>
      <c r="AHM62" s="2"/>
      <c r="AHN62" s="2"/>
      <c r="AHO62" s="2"/>
      <c r="AHP62" s="2"/>
      <c r="AHQ62" s="2"/>
      <c r="AHR62" s="2"/>
      <c r="AHS62" s="2"/>
      <c r="AHT62" s="2"/>
      <c r="AHU62" s="2"/>
      <c r="AHV62" s="2"/>
      <c r="AHW62" s="2"/>
      <c r="AHX62" s="2"/>
      <c r="AHY62" s="2"/>
      <c r="AHZ62" s="2"/>
      <c r="AIA62" s="2"/>
      <c r="AIB62" s="2"/>
      <c r="AIC62" s="2"/>
      <c r="AID62" s="2"/>
      <c r="AIE62" s="2"/>
      <c r="AIF62" s="2"/>
      <c r="AIG62" s="2"/>
      <c r="AIH62" s="2"/>
      <c r="AII62" s="2"/>
      <c r="AIJ62" s="2"/>
      <c r="AIK62" s="2"/>
      <c r="AIL62" s="2"/>
      <c r="AIM62" s="2"/>
      <c r="AIN62" s="2"/>
      <c r="AIO62" s="2"/>
      <c r="AIP62" s="2"/>
      <c r="AIQ62" s="2"/>
      <c r="AIR62" s="2"/>
      <c r="AIS62" s="2"/>
      <c r="AIT62" s="2"/>
      <c r="AIU62" s="2"/>
      <c r="AIV62" s="2"/>
      <c r="AIW62" s="2"/>
      <c r="AIX62" s="2"/>
      <c r="AIY62" s="2"/>
      <c r="AIZ62" s="2"/>
      <c r="AJA62" s="2"/>
      <c r="AJB62" s="2"/>
      <c r="AJC62" s="2"/>
      <c r="AJD62" s="2"/>
      <c r="AJE62" s="2"/>
      <c r="AJF62" s="2"/>
      <c r="AJG62" s="2"/>
      <c r="AJH62" s="2"/>
      <c r="AJI62" s="2"/>
      <c r="AJJ62" s="2"/>
      <c r="AJK62" s="2"/>
      <c r="AJL62" s="2"/>
      <c r="AJM62" s="2"/>
      <c r="AJN62" s="2"/>
      <c r="AJO62" s="2"/>
      <c r="AJP62" s="2"/>
      <c r="AJQ62" s="2"/>
      <c r="AJR62" s="2"/>
      <c r="AJS62" s="2"/>
      <c r="AJT62" s="2"/>
      <c r="AJU62" s="2"/>
      <c r="AJV62" s="2"/>
      <c r="AJW62" s="2"/>
      <c r="AJX62" s="2"/>
      <c r="AJY62" s="2"/>
      <c r="AJZ62" s="2"/>
    </row>
    <row r="63" spans="1:962">
      <c r="A63" s="16">
        <v>62</v>
      </c>
      <c r="B63" s="16">
        <v>1</v>
      </c>
      <c r="C63" s="16">
        <v>5.15</v>
      </c>
      <c r="D63" s="9">
        <v>3.76</v>
      </c>
      <c r="E63" s="9">
        <v>0.72</v>
      </c>
      <c r="F63" s="9">
        <v>0.17</v>
      </c>
      <c r="G63" s="16">
        <v>202</v>
      </c>
      <c r="H63" s="17">
        <v>2</v>
      </c>
      <c r="I63" s="9">
        <f t="shared" si="0"/>
        <v>5.2222222222222223</v>
      </c>
      <c r="J63" s="9">
        <f t="shared" si="1"/>
        <v>0.23611111111111113</v>
      </c>
      <c r="K63" s="9">
        <f t="shared" si="2"/>
        <v>280.55555555555554</v>
      </c>
      <c r="L63" s="9">
        <f t="shared" si="3"/>
        <v>1054.8888888888889</v>
      </c>
      <c r="M63" s="16">
        <v>8</v>
      </c>
      <c r="N63" s="16" t="s">
        <v>30</v>
      </c>
      <c r="O63" s="9">
        <v>8.9749999999999996</v>
      </c>
      <c r="P63" s="16">
        <v>5.15</v>
      </c>
      <c r="Q63" s="9">
        <v>3.76</v>
      </c>
      <c r="R63" s="9">
        <v>0.72</v>
      </c>
      <c r="S63" s="9">
        <v>0.17</v>
      </c>
      <c r="T63" s="9"/>
      <c r="U63" s="9"/>
      <c r="V63" s="9"/>
      <c r="W63" s="18">
        <v>8.4700000000000006</v>
      </c>
      <c r="X63" s="19">
        <v>154</v>
      </c>
      <c r="Y63" s="16">
        <v>0.43</v>
      </c>
      <c r="Z63" s="16"/>
      <c r="AA63" s="16">
        <v>0.4</v>
      </c>
      <c r="AB63" s="16">
        <v>3.5999999999999997E-2</v>
      </c>
      <c r="AC63" s="9">
        <v>154.30000000000001</v>
      </c>
      <c r="AD63" s="9">
        <v>4.22</v>
      </c>
      <c r="AE63" s="9">
        <v>117.1</v>
      </c>
      <c r="AF63" s="9">
        <v>2.62</v>
      </c>
      <c r="AG63" s="9">
        <v>1.0900000000000001</v>
      </c>
      <c r="AH63" s="9">
        <v>7.58</v>
      </c>
      <c r="AI63" s="9">
        <v>140.19999999999999</v>
      </c>
      <c r="AJ63" s="9">
        <v>8.4700000000000006</v>
      </c>
      <c r="AK63" s="9">
        <v>154</v>
      </c>
      <c r="AL63" s="9">
        <v>0.43</v>
      </c>
      <c r="AM63" s="16"/>
      <c r="AN63" s="16">
        <v>1.0489999999999999</v>
      </c>
      <c r="AO63" s="16">
        <v>0.13200000000000001</v>
      </c>
      <c r="AP63" s="16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  <c r="JC63" s="2"/>
      <c r="JD63" s="2"/>
      <c r="JE63" s="2"/>
      <c r="JF63" s="2"/>
      <c r="JG63" s="2"/>
      <c r="JH63" s="2"/>
      <c r="JI63" s="2"/>
      <c r="JJ63" s="2"/>
      <c r="JK63" s="2"/>
      <c r="JL63" s="2"/>
      <c r="JM63" s="2"/>
      <c r="JN63" s="2"/>
      <c r="JO63" s="2"/>
      <c r="JP63" s="2"/>
      <c r="JQ63" s="2"/>
      <c r="JR63" s="2"/>
      <c r="JS63" s="2"/>
      <c r="JT63" s="2"/>
      <c r="JU63" s="2"/>
      <c r="JV63" s="2"/>
      <c r="JW63" s="2"/>
      <c r="JX63" s="2"/>
      <c r="JY63" s="2"/>
      <c r="JZ63" s="2"/>
      <c r="KA63" s="2"/>
      <c r="KB63" s="2"/>
      <c r="KC63" s="2"/>
      <c r="KD63" s="2"/>
      <c r="KE63" s="2"/>
      <c r="KF63" s="2"/>
      <c r="KG63" s="2"/>
      <c r="KH63" s="2"/>
      <c r="KI63" s="2"/>
      <c r="KJ63" s="2"/>
      <c r="KK63" s="2"/>
      <c r="KL63" s="2"/>
      <c r="KM63" s="2"/>
      <c r="KN63" s="2"/>
      <c r="KO63" s="2"/>
      <c r="KP63" s="2"/>
      <c r="KQ63" s="2"/>
      <c r="KR63" s="2"/>
      <c r="KS63" s="2"/>
      <c r="KT63" s="2"/>
      <c r="KU63" s="2"/>
      <c r="KV63" s="2"/>
      <c r="KW63" s="2"/>
      <c r="KX63" s="2"/>
      <c r="KY63" s="2"/>
      <c r="KZ63" s="2"/>
      <c r="LA63" s="2"/>
      <c r="LB63" s="2"/>
      <c r="LC63" s="2"/>
      <c r="LD63" s="2"/>
      <c r="LE63" s="2"/>
      <c r="LF63" s="2"/>
      <c r="LG63" s="2"/>
      <c r="LH63" s="2"/>
      <c r="LI63" s="2"/>
      <c r="LJ63" s="2"/>
      <c r="LK63" s="2"/>
      <c r="LL63" s="2"/>
      <c r="LM63" s="2"/>
      <c r="LN63" s="2"/>
      <c r="LO63" s="2"/>
      <c r="LP63" s="2"/>
      <c r="LQ63" s="2"/>
      <c r="LR63" s="2"/>
      <c r="LS63" s="2"/>
      <c r="LT63" s="2"/>
      <c r="LU63" s="2"/>
      <c r="LV63" s="2"/>
      <c r="LW63" s="2"/>
      <c r="LX63" s="2"/>
      <c r="LY63" s="2"/>
      <c r="LZ63" s="2"/>
      <c r="MA63" s="2"/>
      <c r="MB63" s="2"/>
      <c r="MC63" s="2"/>
      <c r="MD63" s="2"/>
      <c r="ME63" s="2"/>
      <c r="MF63" s="2"/>
      <c r="MG63" s="2"/>
      <c r="MH63" s="2"/>
      <c r="MI63" s="2"/>
      <c r="MJ63" s="2"/>
      <c r="MK63" s="2"/>
      <c r="ML63" s="2"/>
      <c r="MM63" s="2"/>
      <c r="MN63" s="2"/>
      <c r="MO63" s="2"/>
      <c r="MP63" s="2"/>
      <c r="MQ63" s="2"/>
      <c r="MR63" s="2"/>
      <c r="MS63" s="2"/>
      <c r="MT63" s="2"/>
      <c r="MU63" s="2"/>
      <c r="MV63" s="2"/>
      <c r="MW63" s="2"/>
      <c r="MX63" s="2"/>
      <c r="MY63" s="2"/>
      <c r="MZ63" s="2"/>
      <c r="NA63" s="2"/>
      <c r="NB63" s="2"/>
      <c r="NC63" s="2"/>
      <c r="ND63" s="2"/>
      <c r="NE63" s="2"/>
      <c r="NF63" s="2"/>
      <c r="NG63" s="2"/>
      <c r="NH63" s="2"/>
      <c r="NI63" s="2"/>
      <c r="NJ63" s="2"/>
      <c r="NK63" s="2"/>
      <c r="NL63" s="2"/>
      <c r="NM63" s="2"/>
      <c r="NN63" s="2"/>
      <c r="NO63" s="2"/>
      <c r="NP63" s="2"/>
      <c r="NQ63" s="2"/>
      <c r="NR63" s="2"/>
      <c r="NS63" s="2"/>
      <c r="NT63" s="2"/>
      <c r="NU63" s="2"/>
      <c r="NV63" s="2"/>
      <c r="NW63" s="2"/>
      <c r="NX63" s="2"/>
      <c r="NY63" s="2"/>
      <c r="NZ63" s="2"/>
      <c r="OA63" s="2"/>
      <c r="OB63" s="2"/>
      <c r="OC63" s="2"/>
      <c r="OD63" s="2"/>
      <c r="OE63" s="2"/>
      <c r="OF63" s="2"/>
      <c r="OG63" s="2"/>
      <c r="OH63" s="2"/>
      <c r="OI63" s="2"/>
      <c r="OJ63" s="2"/>
      <c r="OK63" s="2"/>
      <c r="OL63" s="2"/>
      <c r="OM63" s="2"/>
      <c r="ON63" s="2"/>
      <c r="OO63" s="2"/>
      <c r="OP63" s="2"/>
      <c r="OQ63" s="2"/>
      <c r="OR63" s="2"/>
      <c r="OS63" s="2"/>
      <c r="OT63" s="2"/>
      <c r="OU63" s="2"/>
      <c r="OV63" s="2"/>
      <c r="OW63" s="2"/>
      <c r="OX63" s="2"/>
      <c r="OY63" s="2"/>
      <c r="OZ63" s="2"/>
      <c r="PA63" s="2"/>
      <c r="PB63" s="2"/>
      <c r="PC63" s="2"/>
      <c r="PD63" s="2"/>
      <c r="PE63" s="2"/>
      <c r="PF63" s="2"/>
      <c r="PG63" s="2"/>
      <c r="PH63" s="2"/>
      <c r="PI63" s="2"/>
      <c r="PJ63" s="2"/>
      <c r="PK63" s="2"/>
      <c r="PL63" s="2"/>
      <c r="PM63" s="2"/>
      <c r="PN63" s="2"/>
      <c r="PO63" s="2"/>
      <c r="PP63" s="2"/>
      <c r="PQ63" s="2"/>
      <c r="PR63" s="2"/>
      <c r="PS63" s="2"/>
      <c r="PT63" s="2"/>
      <c r="PU63" s="2"/>
      <c r="PV63" s="2"/>
      <c r="PW63" s="2"/>
      <c r="PX63" s="2"/>
      <c r="PY63" s="2"/>
      <c r="PZ63" s="2"/>
      <c r="QA63" s="2"/>
      <c r="QB63" s="2"/>
      <c r="QC63" s="2"/>
      <c r="QD63" s="2"/>
      <c r="QE63" s="2"/>
      <c r="QF63" s="2"/>
      <c r="QG63" s="2"/>
      <c r="QH63" s="2"/>
      <c r="QI63" s="2"/>
      <c r="QJ63" s="2"/>
      <c r="QK63" s="2"/>
      <c r="QL63" s="2"/>
      <c r="QM63" s="2"/>
      <c r="QN63" s="2"/>
      <c r="QO63" s="2"/>
      <c r="QP63" s="2"/>
      <c r="QQ63" s="2"/>
      <c r="QR63" s="2"/>
      <c r="QS63" s="2"/>
      <c r="QT63" s="2"/>
      <c r="QU63" s="2"/>
      <c r="QV63" s="2"/>
      <c r="QW63" s="2"/>
      <c r="QX63" s="2"/>
      <c r="QY63" s="2"/>
      <c r="QZ63" s="2"/>
      <c r="RA63" s="2"/>
      <c r="RB63" s="2"/>
      <c r="RC63" s="2"/>
      <c r="RD63" s="2"/>
      <c r="RE63" s="2"/>
      <c r="RF63" s="2"/>
      <c r="RG63" s="2"/>
      <c r="RH63" s="2"/>
      <c r="RI63" s="2"/>
      <c r="RJ63" s="2"/>
      <c r="RK63" s="2"/>
      <c r="RL63" s="2"/>
      <c r="RM63" s="2"/>
      <c r="RN63" s="2"/>
      <c r="RO63" s="2"/>
      <c r="RP63" s="2"/>
      <c r="RQ63" s="2"/>
      <c r="RR63" s="2"/>
      <c r="RS63" s="2"/>
      <c r="RT63" s="2"/>
      <c r="RU63" s="2"/>
      <c r="RV63" s="2"/>
      <c r="RW63" s="2"/>
      <c r="RX63" s="2"/>
      <c r="RY63" s="2"/>
      <c r="RZ63" s="2"/>
      <c r="SA63" s="2"/>
      <c r="SB63" s="2"/>
      <c r="SC63" s="2"/>
      <c r="SD63" s="2"/>
      <c r="SE63" s="2"/>
      <c r="SF63" s="2"/>
      <c r="SG63" s="2"/>
      <c r="SH63" s="2"/>
      <c r="SI63" s="2"/>
      <c r="SJ63" s="2"/>
      <c r="SK63" s="2"/>
      <c r="SL63" s="2"/>
      <c r="SM63" s="2"/>
      <c r="SN63" s="2"/>
      <c r="SO63" s="2"/>
      <c r="SP63" s="2"/>
      <c r="SQ63" s="2"/>
      <c r="SR63" s="2"/>
      <c r="SS63" s="2"/>
      <c r="ST63" s="2"/>
      <c r="SU63" s="2"/>
      <c r="SV63" s="2"/>
      <c r="SW63" s="2"/>
      <c r="SX63" s="2"/>
      <c r="SY63" s="2"/>
      <c r="SZ63" s="2"/>
      <c r="TA63" s="2"/>
      <c r="TB63" s="2"/>
      <c r="TC63" s="2"/>
      <c r="TD63" s="2"/>
      <c r="TE63" s="2"/>
      <c r="TF63" s="2"/>
      <c r="TG63" s="2"/>
      <c r="TH63" s="2"/>
      <c r="TI63" s="2"/>
      <c r="TJ63" s="2"/>
      <c r="TK63" s="2"/>
      <c r="TL63" s="2"/>
      <c r="TM63" s="2"/>
      <c r="TN63" s="2"/>
      <c r="TO63" s="2"/>
      <c r="TP63" s="2"/>
      <c r="TQ63" s="2"/>
      <c r="TR63" s="2"/>
      <c r="TS63" s="2"/>
      <c r="TT63" s="2"/>
      <c r="TU63" s="2"/>
      <c r="TV63" s="2"/>
      <c r="TW63" s="2"/>
      <c r="TX63" s="2"/>
      <c r="TY63" s="2"/>
      <c r="TZ63" s="2"/>
      <c r="UA63" s="2"/>
      <c r="UB63" s="2"/>
      <c r="UC63" s="2"/>
      <c r="UD63" s="2"/>
      <c r="UE63" s="2"/>
      <c r="UF63" s="2"/>
      <c r="UG63" s="2"/>
      <c r="UH63" s="2"/>
      <c r="UI63" s="2"/>
      <c r="UJ63" s="2"/>
      <c r="UK63" s="2"/>
      <c r="UL63" s="2"/>
      <c r="UM63" s="2"/>
      <c r="UN63" s="2"/>
      <c r="UO63" s="2"/>
      <c r="UP63" s="2"/>
      <c r="UQ63" s="2"/>
      <c r="UR63" s="2"/>
      <c r="US63" s="2"/>
      <c r="UT63" s="2"/>
      <c r="UU63" s="2"/>
      <c r="UV63" s="2"/>
      <c r="UW63" s="2"/>
      <c r="UX63" s="2"/>
      <c r="UY63" s="2"/>
      <c r="UZ63" s="2"/>
      <c r="VA63" s="2"/>
      <c r="VB63" s="2"/>
      <c r="VC63" s="2"/>
      <c r="VD63" s="2"/>
      <c r="VE63" s="2"/>
      <c r="VF63" s="2"/>
      <c r="VG63" s="2"/>
      <c r="VH63" s="2"/>
      <c r="VI63" s="2"/>
      <c r="VJ63" s="2"/>
      <c r="VK63" s="2"/>
      <c r="VL63" s="2"/>
      <c r="VM63" s="2"/>
      <c r="VN63" s="2"/>
      <c r="VO63" s="2"/>
      <c r="VP63" s="2"/>
      <c r="VQ63" s="2"/>
      <c r="VR63" s="2"/>
      <c r="VS63" s="2"/>
      <c r="VT63" s="2"/>
      <c r="VU63" s="2"/>
      <c r="VV63" s="2"/>
      <c r="VW63" s="2"/>
      <c r="VX63" s="2"/>
      <c r="VY63" s="2"/>
      <c r="VZ63" s="2"/>
      <c r="WA63" s="2"/>
      <c r="WB63" s="2"/>
      <c r="WC63" s="2"/>
      <c r="WD63" s="2"/>
      <c r="WE63" s="2"/>
      <c r="WF63" s="2"/>
      <c r="WG63" s="2"/>
      <c r="WH63" s="2"/>
      <c r="WI63" s="2"/>
      <c r="WJ63" s="2"/>
      <c r="WK63" s="2"/>
      <c r="WL63" s="2"/>
      <c r="WM63" s="2"/>
      <c r="WN63" s="2"/>
      <c r="WO63" s="2"/>
      <c r="WP63" s="2"/>
      <c r="WQ63" s="2"/>
      <c r="WR63" s="2"/>
      <c r="WS63" s="2"/>
      <c r="WT63" s="2"/>
      <c r="WU63" s="2"/>
      <c r="WV63" s="2"/>
      <c r="WW63" s="2"/>
      <c r="WX63" s="2"/>
      <c r="WY63" s="2"/>
      <c r="WZ63" s="2"/>
      <c r="XA63" s="2"/>
      <c r="XB63" s="2"/>
      <c r="XC63" s="2"/>
      <c r="XD63" s="2"/>
      <c r="XE63" s="2"/>
      <c r="XF63" s="2"/>
      <c r="XG63" s="2"/>
      <c r="XH63" s="2"/>
      <c r="XI63" s="2"/>
      <c r="XJ63" s="2"/>
      <c r="XK63" s="2"/>
      <c r="XL63" s="2"/>
      <c r="XM63" s="2"/>
      <c r="XN63" s="2"/>
      <c r="XO63" s="2"/>
      <c r="XP63" s="2"/>
      <c r="XQ63" s="2"/>
      <c r="XR63" s="2"/>
      <c r="XS63" s="2"/>
      <c r="XT63" s="2"/>
      <c r="XU63" s="2"/>
      <c r="XV63" s="2"/>
      <c r="XW63" s="2"/>
      <c r="XX63" s="2"/>
      <c r="XY63" s="2"/>
      <c r="XZ63" s="2"/>
      <c r="YA63" s="2"/>
      <c r="YB63" s="2"/>
      <c r="YC63" s="2"/>
      <c r="YD63" s="2"/>
      <c r="YE63" s="2"/>
      <c r="YF63" s="2"/>
      <c r="YG63" s="2"/>
      <c r="YH63" s="2"/>
      <c r="YI63" s="2"/>
      <c r="YJ63" s="2"/>
      <c r="YK63" s="2"/>
      <c r="YL63" s="2"/>
      <c r="YM63" s="2"/>
      <c r="YN63" s="2"/>
      <c r="YO63" s="2"/>
      <c r="YP63" s="2"/>
      <c r="YQ63" s="2"/>
      <c r="YR63" s="2"/>
      <c r="YS63" s="2"/>
      <c r="YT63" s="2"/>
      <c r="YU63" s="2"/>
      <c r="YV63" s="2"/>
      <c r="YW63" s="2"/>
      <c r="YX63" s="2"/>
      <c r="YY63" s="2"/>
      <c r="YZ63" s="2"/>
      <c r="ZA63" s="2"/>
      <c r="ZB63" s="2"/>
      <c r="ZC63" s="2"/>
      <c r="ZD63" s="2"/>
      <c r="ZE63" s="2"/>
      <c r="ZF63" s="2"/>
      <c r="ZG63" s="2"/>
      <c r="ZH63" s="2"/>
      <c r="ZI63" s="2"/>
      <c r="ZJ63" s="2"/>
      <c r="ZK63" s="2"/>
      <c r="ZL63" s="2"/>
      <c r="ZM63" s="2"/>
      <c r="ZN63" s="2"/>
      <c r="ZO63" s="2"/>
      <c r="ZP63" s="2"/>
      <c r="ZQ63" s="2"/>
      <c r="ZR63" s="2"/>
      <c r="ZS63" s="2"/>
      <c r="ZT63" s="2"/>
      <c r="ZU63" s="2"/>
      <c r="ZV63" s="2"/>
      <c r="ZW63" s="2"/>
      <c r="ZX63" s="2"/>
      <c r="ZY63" s="2"/>
      <c r="ZZ63" s="2"/>
      <c r="AAA63" s="2"/>
      <c r="AAB63" s="2"/>
      <c r="AAC63" s="2"/>
      <c r="AAD63" s="2"/>
      <c r="AAE63" s="2"/>
      <c r="AAF63" s="2"/>
      <c r="AAG63" s="2"/>
      <c r="AAH63" s="2"/>
      <c r="AAI63" s="2"/>
      <c r="AAJ63" s="2"/>
      <c r="AAK63" s="2"/>
      <c r="AAL63" s="2"/>
      <c r="AAM63" s="2"/>
      <c r="AAN63" s="2"/>
      <c r="AAO63" s="2"/>
      <c r="AAP63" s="2"/>
      <c r="AAQ63" s="2"/>
      <c r="AAR63" s="2"/>
      <c r="AAS63" s="2"/>
      <c r="AAT63" s="2"/>
      <c r="AAU63" s="2"/>
      <c r="AAV63" s="2"/>
      <c r="AAW63" s="2"/>
      <c r="AAX63" s="2"/>
      <c r="AAY63" s="2"/>
      <c r="AAZ63" s="2"/>
      <c r="ABA63" s="2"/>
      <c r="ABB63" s="2"/>
      <c r="ABC63" s="2"/>
      <c r="ABD63" s="2"/>
      <c r="ABE63" s="2"/>
      <c r="ABF63" s="2"/>
      <c r="ABG63" s="2"/>
      <c r="ABH63" s="2"/>
      <c r="ABI63" s="2"/>
      <c r="ABJ63" s="2"/>
      <c r="ABK63" s="2"/>
      <c r="ABL63" s="2"/>
      <c r="ABM63" s="2"/>
      <c r="ABN63" s="2"/>
      <c r="ABO63" s="2"/>
      <c r="ABP63" s="2"/>
      <c r="ABQ63" s="2"/>
      <c r="ABR63" s="2"/>
      <c r="ABS63" s="2"/>
      <c r="ABT63" s="2"/>
      <c r="ABU63" s="2"/>
      <c r="ABV63" s="2"/>
      <c r="ABW63" s="2"/>
      <c r="ABX63" s="2"/>
      <c r="ABY63" s="2"/>
      <c r="ABZ63" s="2"/>
      <c r="ACA63" s="2"/>
      <c r="ACB63" s="2"/>
      <c r="ACC63" s="2"/>
      <c r="ACD63" s="2"/>
      <c r="ACE63" s="2"/>
      <c r="ACF63" s="2"/>
      <c r="ACG63" s="2"/>
      <c r="ACH63" s="2"/>
      <c r="ACI63" s="2"/>
      <c r="ACJ63" s="2"/>
      <c r="ACK63" s="2"/>
      <c r="ACL63" s="2"/>
      <c r="ACM63" s="2"/>
      <c r="ACN63" s="2"/>
      <c r="ACO63" s="2"/>
      <c r="ACP63" s="2"/>
      <c r="ACQ63" s="2"/>
      <c r="ACR63" s="2"/>
      <c r="ACS63" s="2"/>
      <c r="ACT63" s="2"/>
      <c r="ACU63" s="2"/>
      <c r="ACV63" s="2"/>
      <c r="ACW63" s="2"/>
      <c r="ACX63" s="2"/>
      <c r="ACY63" s="2"/>
      <c r="ACZ63" s="2"/>
      <c r="ADA63" s="2"/>
      <c r="ADB63" s="2"/>
      <c r="ADC63" s="2"/>
      <c r="ADD63" s="2"/>
      <c r="ADE63" s="2"/>
      <c r="ADF63" s="2"/>
      <c r="ADG63" s="2"/>
      <c r="ADH63" s="2"/>
      <c r="ADI63" s="2"/>
      <c r="ADJ63" s="2"/>
      <c r="ADK63" s="2"/>
      <c r="ADL63" s="2"/>
      <c r="ADM63" s="2"/>
      <c r="ADN63" s="2"/>
      <c r="ADO63" s="2"/>
      <c r="ADP63" s="2"/>
      <c r="ADQ63" s="2"/>
      <c r="ADR63" s="2"/>
      <c r="ADS63" s="2"/>
      <c r="ADT63" s="2"/>
      <c r="ADU63" s="2"/>
      <c r="ADV63" s="2"/>
      <c r="ADW63" s="2"/>
      <c r="ADX63" s="2"/>
      <c r="ADY63" s="2"/>
      <c r="ADZ63" s="2"/>
      <c r="AEA63" s="2"/>
      <c r="AEB63" s="2"/>
      <c r="AEC63" s="2"/>
      <c r="AED63" s="2"/>
      <c r="AEE63" s="2"/>
      <c r="AEF63" s="2"/>
      <c r="AEG63" s="2"/>
      <c r="AEH63" s="2"/>
      <c r="AEI63" s="2"/>
      <c r="AEJ63" s="2"/>
      <c r="AEK63" s="2"/>
      <c r="AEL63" s="2"/>
      <c r="AEM63" s="2"/>
      <c r="AEN63" s="2"/>
      <c r="AEO63" s="2"/>
      <c r="AEP63" s="2"/>
      <c r="AEQ63" s="2"/>
      <c r="AER63" s="2"/>
      <c r="AES63" s="2"/>
      <c r="AET63" s="2"/>
      <c r="AEU63" s="2"/>
      <c r="AEV63" s="2"/>
      <c r="AEW63" s="2"/>
      <c r="AEX63" s="2"/>
      <c r="AEY63" s="2"/>
      <c r="AEZ63" s="2"/>
      <c r="AFA63" s="2"/>
      <c r="AFB63" s="2"/>
      <c r="AFC63" s="2"/>
      <c r="AFD63" s="2"/>
      <c r="AFE63" s="2"/>
      <c r="AFF63" s="2"/>
      <c r="AFG63" s="2"/>
      <c r="AFH63" s="2"/>
      <c r="AFI63" s="2"/>
      <c r="AFJ63" s="2"/>
      <c r="AFK63" s="2"/>
      <c r="AFL63" s="2"/>
      <c r="AFM63" s="2"/>
      <c r="AFN63" s="2"/>
      <c r="AFO63" s="2"/>
      <c r="AFP63" s="2"/>
      <c r="AFQ63" s="2"/>
      <c r="AFR63" s="2"/>
      <c r="AFS63" s="2"/>
      <c r="AFT63" s="2"/>
      <c r="AFU63" s="2"/>
      <c r="AFV63" s="2"/>
      <c r="AFW63" s="2"/>
      <c r="AFX63" s="2"/>
      <c r="AFY63" s="2"/>
      <c r="AFZ63" s="2"/>
      <c r="AGA63" s="2"/>
      <c r="AGB63" s="2"/>
      <c r="AGC63" s="2"/>
      <c r="AGD63" s="2"/>
      <c r="AGE63" s="2"/>
      <c r="AGF63" s="2"/>
      <c r="AGG63" s="2"/>
      <c r="AGH63" s="2"/>
      <c r="AGI63" s="2"/>
      <c r="AGJ63" s="2"/>
      <c r="AGK63" s="2"/>
      <c r="AGL63" s="2"/>
      <c r="AGM63" s="2"/>
      <c r="AGN63" s="2"/>
      <c r="AGO63" s="2"/>
      <c r="AGP63" s="2"/>
      <c r="AGQ63" s="2"/>
      <c r="AGR63" s="2"/>
      <c r="AGS63" s="2"/>
      <c r="AGT63" s="2"/>
      <c r="AGU63" s="2"/>
      <c r="AGV63" s="2"/>
      <c r="AGW63" s="2"/>
      <c r="AGX63" s="2"/>
      <c r="AGY63" s="2"/>
      <c r="AGZ63" s="2"/>
      <c r="AHA63" s="2"/>
      <c r="AHB63" s="2"/>
      <c r="AHC63" s="2"/>
      <c r="AHD63" s="2"/>
      <c r="AHE63" s="2"/>
      <c r="AHF63" s="2"/>
      <c r="AHG63" s="2"/>
      <c r="AHH63" s="2"/>
      <c r="AHI63" s="2"/>
      <c r="AHJ63" s="2"/>
      <c r="AHK63" s="2"/>
      <c r="AHL63" s="2"/>
      <c r="AHM63" s="2"/>
      <c r="AHN63" s="2"/>
      <c r="AHO63" s="2"/>
      <c r="AHP63" s="2"/>
      <c r="AHQ63" s="2"/>
      <c r="AHR63" s="2"/>
      <c r="AHS63" s="2"/>
      <c r="AHT63" s="2"/>
      <c r="AHU63" s="2"/>
      <c r="AHV63" s="2"/>
      <c r="AHW63" s="2"/>
      <c r="AHX63" s="2"/>
      <c r="AHY63" s="2"/>
      <c r="AHZ63" s="2"/>
      <c r="AIA63" s="2"/>
      <c r="AIB63" s="2"/>
      <c r="AIC63" s="2"/>
      <c r="AID63" s="2"/>
      <c r="AIE63" s="2"/>
      <c r="AIF63" s="2"/>
      <c r="AIG63" s="2"/>
      <c r="AIH63" s="2"/>
      <c r="AII63" s="2"/>
      <c r="AIJ63" s="2"/>
      <c r="AIK63" s="2"/>
      <c r="AIL63" s="2"/>
      <c r="AIM63" s="2"/>
      <c r="AIN63" s="2"/>
      <c r="AIO63" s="2"/>
      <c r="AIP63" s="2"/>
      <c r="AIQ63" s="2"/>
      <c r="AIR63" s="2"/>
      <c r="AIS63" s="2"/>
      <c r="AIT63" s="2"/>
      <c r="AIU63" s="2"/>
      <c r="AIV63" s="2"/>
      <c r="AIW63" s="2"/>
      <c r="AIX63" s="2"/>
      <c r="AIY63" s="2"/>
      <c r="AIZ63" s="2"/>
      <c r="AJA63" s="2"/>
      <c r="AJB63" s="2"/>
      <c r="AJC63" s="2"/>
      <c r="AJD63" s="2"/>
      <c r="AJE63" s="2"/>
      <c r="AJF63" s="2"/>
      <c r="AJG63" s="2"/>
      <c r="AJH63" s="2"/>
      <c r="AJI63" s="2"/>
      <c r="AJJ63" s="2"/>
      <c r="AJK63" s="2"/>
      <c r="AJL63" s="2"/>
      <c r="AJM63" s="2"/>
      <c r="AJN63" s="2"/>
      <c r="AJO63" s="2"/>
      <c r="AJP63" s="2"/>
      <c r="AJQ63" s="2"/>
      <c r="AJR63" s="2"/>
      <c r="AJS63" s="2"/>
      <c r="AJT63" s="2"/>
      <c r="AJU63" s="2"/>
      <c r="AJV63" s="2"/>
      <c r="AJW63" s="2"/>
      <c r="AJX63" s="2"/>
      <c r="AJY63" s="2"/>
      <c r="AJZ63" s="2"/>
    </row>
    <row r="64" spans="1:962">
      <c r="A64" s="16"/>
    </row>
    <row r="65" spans="1:1">
      <c r="A65" s="16"/>
    </row>
    <row r="66" spans="1:1">
      <c r="A66" s="16"/>
    </row>
    <row r="67" spans="1:1">
      <c r="A67" s="16"/>
    </row>
    <row r="68" spans="1:1">
      <c r="A68" s="16"/>
    </row>
    <row r="69" spans="1:1">
      <c r="A69" s="1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02064-059A-43A9-8710-2C0056F7EC95}">
  <dimension ref="A1:AKA31"/>
  <sheetViews>
    <sheetView tabSelected="1" topLeftCell="A3" workbookViewId="0">
      <pane xSplit="1" topLeftCell="B1" activePane="topRight" state="frozen"/>
      <selection pane="topRight" activeCell="Z9" sqref="Z9"/>
    </sheetView>
  </sheetViews>
  <sheetFormatPr defaultRowHeight="15.05"/>
  <cols>
    <col min="1" max="1" width="9.109375" style="7"/>
  </cols>
  <sheetData>
    <row r="1" spans="1:963" ht="15.75" thickBot="1">
      <c r="A1" s="11" t="s">
        <v>43</v>
      </c>
      <c r="B1" s="1" t="s">
        <v>49</v>
      </c>
      <c r="C1" s="12" t="s">
        <v>0</v>
      </c>
      <c r="D1" s="12" t="s">
        <v>1</v>
      </c>
      <c r="E1" s="12" t="s">
        <v>2</v>
      </c>
      <c r="F1" s="12" t="s">
        <v>3</v>
      </c>
      <c r="G1" s="12" t="s">
        <v>4</v>
      </c>
      <c r="H1" s="12" t="s">
        <v>5</v>
      </c>
      <c r="I1" s="12" t="s">
        <v>6</v>
      </c>
      <c r="J1" s="12" t="s">
        <v>7</v>
      </c>
      <c r="K1" s="12" t="s">
        <v>8</v>
      </c>
      <c r="L1" s="12" t="s">
        <v>35</v>
      </c>
      <c r="M1" s="12" t="s">
        <v>45</v>
      </c>
      <c r="N1" s="12" t="s">
        <v>9</v>
      </c>
      <c r="O1" s="12" t="s">
        <v>0</v>
      </c>
      <c r="P1" s="12" t="s">
        <v>1</v>
      </c>
      <c r="Q1" s="12" t="s">
        <v>2</v>
      </c>
      <c r="R1" s="12" t="s">
        <v>3</v>
      </c>
      <c r="S1" s="12" t="s">
        <v>10</v>
      </c>
      <c r="T1" s="12" t="s">
        <v>11</v>
      </c>
      <c r="U1" s="12" t="s">
        <v>12</v>
      </c>
      <c r="V1" s="12" t="s">
        <v>13</v>
      </c>
      <c r="W1" s="12" t="s">
        <v>14</v>
      </c>
      <c r="X1" s="12" t="s">
        <v>15</v>
      </c>
      <c r="Y1" s="12" t="s">
        <v>4</v>
      </c>
      <c r="Z1" s="12" t="s">
        <v>16</v>
      </c>
      <c r="AA1" s="15" t="s">
        <v>17</v>
      </c>
      <c r="AB1" s="12" t="s">
        <v>18</v>
      </c>
      <c r="AC1" s="12" t="s">
        <v>19</v>
      </c>
      <c r="AD1" s="12" t="s">
        <v>20</v>
      </c>
      <c r="AE1" s="12" t="s">
        <v>21</v>
      </c>
      <c r="AF1" s="12" t="s">
        <v>22</v>
      </c>
      <c r="AG1" s="12" t="s">
        <v>47</v>
      </c>
      <c r="AH1" s="12" t="s">
        <v>39</v>
      </c>
      <c r="AI1" s="12" t="s">
        <v>23</v>
      </c>
      <c r="AJ1" s="12" t="s">
        <v>24</v>
      </c>
      <c r="AK1" s="12" t="s">
        <v>40</v>
      </c>
      <c r="AL1" s="12" t="s">
        <v>41</v>
      </c>
      <c r="AM1" s="15" t="s">
        <v>42</v>
      </c>
      <c r="AN1" s="12" t="s">
        <v>25</v>
      </c>
    </row>
    <row r="2" spans="1:963" ht="15.75" thickTop="1">
      <c r="A2" s="16">
        <v>1</v>
      </c>
      <c r="B2" s="2">
        <v>4</v>
      </c>
      <c r="C2" s="16">
        <v>29.58</v>
      </c>
      <c r="D2" s="9">
        <v>21.69</v>
      </c>
      <c r="E2" s="9">
        <v>3.05</v>
      </c>
      <c r="F2" s="9">
        <v>2.67</v>
      </c>
      <c r="G2" s="9">
        <v>200</v>
      </c>
      <c r="H2" s="9">
        <f>D2/E2</f>
        <v>7.111475409836066</v>
      </c>
      <c r="I2" s="9">
        <f t="shared" ref="I2:I27" si="0">F2/E2</f>
        <v>0.87540983606557377</v>
      </c>
      <c r="J2" s="9">
        <f t="shared" ref="J2:J27" si="1">G2/E2</f>
        <v>65.573770491803288</v>
      </c>
      <c r="K2" s="9">
        <f t="shared" ref="K2:K27" si="2">G2*D2/E2</f>
        <v>1422.2950819672133</v>
      </c>
      <c r="L2" s="16">
        <v>12</v>
      </c>
      <c r="M2" s="16" t="s">
        <v>27</v>
      </c>
      <c r="N2" s="16">
        <v>3.3</v>
      </c>
      <c r="O2" s="18">
        <v>29.58</v>
      </c>
      <c r="P2" s="9">
        <v>21.69</v>
      </c>
      <c r="Q2" s="9">
        <v>3.05</v>
      </c>
      <c r="R2" s="9">
        <v>2.67</v>
      </c>
      <c r="S2" s="9">
        <v>2.0499999999999998</v>
      </c>
      <c r="T2" s="9">
        <v>0.11</v>
      </c>
      <c r="U2" s="9">
        <v>0</v>
      </c>
      <c r="V2" s="18">
        <v>5.28</v>
      </c>
      <c r="W2" s="18">
        <v>77</v>
      </c>
      <c r="X2" s="18">
        <v>0.27</v>
      </c>
      <c r="Y2" s="18">
        <v>200</v>
      </c>
      <c r="Z2" s="18"/>
      <c r="AA2" s="18"/>
      <c r="AB2" s="18">
        <v>152.19999999999999</v>
      </c>
      <c r="AC2" s="18">
        <v>4.6900000000000004</v>
      </c>
      <c r="AD2" s="18">
        <v>120.6</v>
      </c>
      <c r="AE2" s="18">
        <v>2.59</v>
      </c>
      <c r="AF2" s="18">
        <v>7.52</v>
      </c>
      <c r="AG2" s="18">
        <v>98.96</v>
      </c>
      <c r="AH2" s="18">
        <v>647.47</v>
      </c>
      <c r="AI2" s="18">
        <v>33.799999999999997</v>
      </c>
      <c r="AJ2" s="18">
        <v>69.5</v>
      </c>
      <c r="AK2" s="18">
        <v>87.1</v>
      </c>
      <c r="AL2" s="18">
        <v>31.8</v>
      </c>
      <c r="AM2" s="26">
        <v>1.022</v>
      </c>
      <c r="AN2" s="26">
        <v>0.58299999999999996</v>
      </c>
      <c r="AO2" s="2"/>
    </row>
    <row r="3" spans="1:963">
      <c r="A3" s="7">
        <v>2</v>
      </c>
      <c r="B3" s="2">
        <v>4</v>
      </c>
      <c r="C3" s="9">
        <v>12.59</v>
      </c>
      <c r="D3" s="9">
        <v>10.86</v>
      </c>
      <c r="E3" s="9">
        <v>1.07</v>
      </c>
      <c r="F3" s="9">
        <v>0.36</v>
      </c>
      <c r="G3" s="9">
        <v>518</v>
      </c>
      <c r="H3" s="9">
        <f t="shared" ref="H3:H27" si="3">D3/E3</f>
        <v>10.149532710280372</v>
      </c>
      <c r="I3" s="9">
        <f t="shared" si="0"/>
        <v>0.3364485981308411</v>
      </c>
      <c r="J3" s="9">
        <f t="shared" si="1"/>
        <v>484.11214953271025</v>
      </c>
      <c r="K3" s="9">
        <f t="shared" si="2"/>
        <v>5257.4579439252329</v>
      </c>
      <c r="L3" s="8">
        <v>6</v>
      </c>
      <c r="M3" s="9" t="s">
        <v>28</v>
      </c>
      <c r="N3" s="9">
        <v>3.32</v>
      </c>
      <c r="O3" s="9">
        <v>12.59</v>
      </c>
      <c r="P3" s="9">
        <v>10.86</v>
      </c>
      <c r="Q3" s="9">
        <v>1.07</v>
      </c>
      <c r="R3" s="9">
        <v>0.36</v>
      </c>
      <c r="S3" s="9">
        <v>0.27</v>
      </c>
      <c r="T3" s="9">
        <v>0</v>
      </c>
      <c r="U3" s="9">
        <v>0.03</v>
      </c>
      <c r="V3" s="9">
        <v>6.62</v>
      </c>
      <c r="W3" s="9">
        <v>95</v>
      </c>
      <c r="X3" s="9">
        <v>0.31</v>
      </c>
      <c r="Y3" s="9">
        <v>518</v>
      </c>
      <c r="Z3" s="9">
        <v>0.2</v>
      </c>
      <c r="AA3" s="9">
        <v>0.01</v>
      </c>
      <c r="AB3" s="9">
        <v>150.4</v>
      </c>
      <c r="AC3" s="9">
        <v>4.18</v>
      </c>
      <c r="AD3" s="9">
        <v>115.1</v>
      </c>
      <c r="AE3" s="9">
        <v>2.39</v>
      </c>
      <c r="AF3" s="9">
        <v>4.28</v>
      </c>
      <c r="AG3" s="9">
        <v>77.2</v>
      </c>
      <c r="AH3" s="9">
        <v>984.2</v>
      </c>
      <c r="AI3" s="9">
        <v>14.2</v>
      </c>
      <c r="AJ3" s="9">
        <v>72.099999999999994</v>
      </c>
      <c r="AK3" s="9">
        <v>84.34</v>
      </c>
      <c r="AL3" s="9">
        <v>26.91</v>
      </c>
      <c r="AM3" s="24">
        <v>1.0149999999999999</v>
      </c>
      <c r="AN3" s="24">
        <v>0.91500000000000004</v>
      </c>
    </row>
    <row r="4" spans="1:963">
      <c r="A4" s="7">
        <v>3</v>
      </c>
      <c r="B4" s="2">
        <v>4</v>
      </c>
      <c r="C4" s="9">
        <v>12.34</v>
      </c>
      <c r="D4" s="9">
        <v>10.07</v>
      </c>
      <c r="E4" s="9">
        <v>1.24</v>
      </c>
      <c r="F4" s="9">
        <v>0.84</v>
      </c>
      <c r="G4" s="9">
        <v>273</v>
      </c>
      <c r="H4" s="9">
        <f t="shared" si="3"/>
        <v>8.120967741935484</v>
      </c>
      <c r="I4" s="9">
        <f t="shared" si="0"/>
        <v>0.67741935483870963</v>
      </c>
      <c r="J4" s="9">
        <f t="shared" si="1"/>
        <v>220.16129032258064</v>
      </c>
      <c r="K4" s="9">
        <f t="shared" si="2"/>
        <v>2217.0241935483873</v>
      </c>
      <c r="L4" s="8">
        <v>5</v>
      </c>
      <c r="M4" s="9" t="s">
        <v>26</v>
      </c>
      <c r="N4" s="9">
        <v>7.4</v>
      </c>
      <c r="O4" s="9">
        <v>12.34</v>
      </c>
      <c r="P4" s="9">
        <v>10.07</v>
      </c>
      <c r="Q4" s="9">
        <v>1.24</v>
      </c>
      <c r="R4" s="9">
        <v>0.84</v>
      </c>
      <c r="S4" s="9">
        <v>0.12</v>
      </c>
      <c r="T4" s="9">
        <v>0.01</v>
      </c>
      <c r="U4" s="9">
        <v>0.05</v>
      </c>
      <c r="V4" s="9">
        <v>7.88</v>
      </c>
      <c r="W4" s="9">
        <v>127</v>
      </c>
      <c r="X4" s="9">
        <v>0.39</v>
      </c>
      <c r="Y4" s="9">
        <v>273</v>
      </c>
      <c r="Z4" s="9">
        <v>0.3</v>
      </c>
      <c r="AA4" s="9">
        <v>2.1999999999999999E-2</v>
      </c>
      <c r="AB4" s="9">
        <v>146.6</v>
      </c>
      <c r="AC4" s="9">
        <v>6.53</v>
      </c>
      <c r="AD4" s="9">
        <v>116.5</v>
      </c>
      <c r="AE4" s="9">
        <v>2.44</v>
      </c>
      <c r="AF4" s="9">
        <v>2.7</v>
      </c>
      <c r="AG4" s="9">
        <v>39.700000000000003</v>
      </c>
      <c r="AH4" s="9">
        <v>1021.4</v>
      </c>
      <c r="AI4" s="9">
        <v>23.9</v>
      </c>
      <c r="AJ4" s="9">
        <v>45</v>
      </c>
      <c r="AK4" s="9">
        <v>69.67</v>
      </c>
      <c r="AL4" s="9">
        <v>33.99</v>
      </c>
      <c r="AM4" s="24"/>
      <c r="AN4" s="24"/>
    </row>
    <row r="5" spans="1:963">
      <c r="A5" s="16">
        <v>4</v>
      </c>
      <c r="B5" s="2">
        <v>4</v>
      </c>
      <c r="C5" s="9">
        <v>10.88</v>
      </c>
      <c r="D5" s="9">
        <v>7.24</v>
      </c>
      <c r="E5" s="9">
        <v>2.11</v>
      </c>
      <c r="F5" s="9">
        <v>0.26</v>
      </c>
      <c r="G5" s="9">
        <v>497</v>
      </c>
      <c r="H5" s="9">
        <f t="shared" si="3"/>
        <v>3.4312796208530809</v>
      </c>
      <c r="I5" s="9">
        <f t="shared" si="0"/>
        <v>0.12322274881516589</v>
      </c>
      <c r="J5" s="9">
        <f t="shared" si="1"/>
        <v>235.54502369668248</v>
      </c>
      <c r="K5" s="9">
        <f t="shared" si="2"/>
        <v>1705.3459715639813</v>
      </c>
      <c r="L5" s="8">
        <v>18</v>
      </c>
      <c r="M5" s="9" t="s">
        <v>26</v>
      </c>
      <c r="N5" s="9">
        <v>3.06</v>
      </c>
      <c r="O5" s="9">
        <v>10.88</v>
      </c>
      <c r="P5" s="9">
        <v>7.24</v>
      </c>
      <c r="Q5" s="9">
        <v>2.11</v>
      </c>
      <c r="R5" s="9">
        <v>0.26</v>
      </c>
      <c r="S5" s="9">
        <v>1.23</v>
      </c>
      <c r="T5" s="9">
        <v>0</v>
      </c>
      <c r="U5" s="9">
        <v>0.03</v>
      </c>
      <c r="V5" s="9">
        <v>4.5199999999999996</v>
      </c>
      <c r="W5" s="9">
        <v>70</v>
      </c>
      <c r="X5" s="9">
        <v>0.23</v>
      </c>
      <c r="Y5" s="9">
        <v>497</v>
      </c>
      <c r="Z5" s="9">
        <v>0.1</v>
      </c>
      <c r="AA5" s="9">
        <v>6.0000000000000001E-3</v>
      </c>
      <c r="AB5" s="9">
        <v>152.9</v>
      </c>
      <c r="AC5" s="9">
        <v>3.81</v>
      </c>
      <c r="AD5" s="9">
        <v>119.8</v>
      </c>
      <c r="AE5" s="9">
        <v>2.5299999999999998</v>
      </c>
      <c r="AF5" s="9">
        <v>2.89</v>
      </c>
      <c r="AG5" s="9">
        <v>45.31</v>
      </c>
      <c r="AH5" s="9">
        <v>430</v>
      </c>
      <c r="AI5" s="9">
        <v>13.2</v>
      </c>
      <c r="AJ5" s="9">
        <v>47.5</v>
      </c>
      <c r="AK5" s="9">
        <v>80.62</v>
      </c>
      <c r="AL5" s="9">
        <v>30.34</v>
      </c>
      <c r="AM5" s="24">
        <v>1.006</v>
      </c>
      <c r="AN5" s="24">
        <v>0.64500000000000002</v>
      </c>
    </row>
    <row r="6" spans="1:963">
      <c r="A6" s="7">
        <v>5</v>
      </c>
      <c r="B6" s="2">
        <v>4</v>
      </c>
      <c r="C6" s="7">
        <v>13.68</v>
      </c>
      <c r="D6" s="7">
        <v>10.81</v>
      </c>
      <c r="E6" s="7">
        <v>1.67</v>
      </c>
      <c r="F6" s="7">
        <v>0.22</v>
      </c>
      <c r="G6" s="7">
        <v>403</v>
      </c>
      <c r="H6" s="9">
        <f t="shared" si="3"/>
        <v>6.4730538922155691</v>
      </c>
      <c r="I6" s="9">
        <f t="shared" si="0"/>
        <v>0.1317365269461078</v>
      </c>
      <c r="J6" s="9">
        <f t="shared" si="1"/>
        <v>241.31736526946108</v>
      </c>
      <c r="K6" s="9">
        <f t="shared" si="2"/>
        <v>2608.6407185628746</v>
      </c>
      <c r="L6" s="7">
        <v>10</v>
      </c>
      <c r="M6" s="7" t="s">
        <v>28</v>
      </c>
      <c r="N6" s="7">
        <v>4.93</v>
      </c>
      <c r="O6" s="9">
        <v>13.68</v>
      </c>
      <c r="P6" s="9">
        <v>10.81</v>
      </c>
      <c r="Q6" s="9">
        <v>1.67</v>
      </c>
      <c r="R6" s="9">
        <v>0.22</v>
      </c>
      <c r="S6" s="9">
        <v>0.98</v>
      </c>
      <c r="T6" s="9">
        <v>0</v>
      </c>
      <c r="U6" s="9">
        <v>0</v>
      </c>
      <c r="V6" s="9">
        <v>6.51</v>
      </c>
      <c r="W6" s="9">
        <v>86</v>
      </c>
      <c r="X6" s="9">
        <v>0.31</v>
      </c>
      <c r="Y6" s="9">
        <v>403</v>
      </c>
      <c r="Z6" s="9">
        <v>0.1</v>
      </c>
      <c r="AA6" s="9">
        <v>5.0000000000000001E-3</v>
      </c>
      <c r="AB6" s="9">
        <v>155.80000000000001</v>
      </c>
      <c r="AC6" s="9">
        <v>4.54</v>
      </c>
      <c r="AD6" s="9">
        <v>124</v>
      </c>
      <c r="AE6" s="9">
        <v>2.75</v>
      </c>
      <c r="AF6" s="9">
        <v>6.38</v>
      </c>
      <c r="AG6" s="9">
        <v>63</v>
      </c>
      <c r="AH6" s="9">
        <v>747.5</v>
      </c>
      <c r="AI6" s="9">
        <v>11.5</v>
      </c>
      <c r="AJ6" s="9">
        <v>76.099999999999994</v>
      </c>
      <c r="AK6" s="9">
        <v>91.9</v>
      </c>
      <c r="AL6" s="9">
        <v>33.299999999999997</v>
      </c>
      <c r="AM6" s="24">
        <v>1.01</v>
      </c>
      <c r="AN6" s="24">
        <v>0.53149999999999997</v>
      </c>
    </row>
    <row r="7" spans="1:963">
      <c r="A7" s="7">
        <v>6</v>
      </c>
      <c r="B7" s="2">
        <v>4</v>
      </c>
      <c r="C7" s="7">
        <v>8.48</v>
      </c>
      <c r="D7" s="7">
        <v>6.68</v>
      </c>
      <c r="E7" s="7">
        <v>1.38</v>
      </c>
      <c r="F7" s="7">
        <v>0.18</v>
      </c>
      <c r="G7" s="7">
        <v>221</v>
      </c>
      <c r="H7" s="9">
        <f t="shared" si="3"/>
        <v>4.8405797101449277</v>
      </c>
      <c r="I7" s="9">
        <f t="shared" si="0"/>
        <v>0.13043478260869565</v>
      </c>
      <c r="J7" s="9">
        <f t="shared" si="1"/>
        <v>160.1449275362319</v>
      </c>
      <c r="K7" s="9">
        <f t="shared" si="2"/>
        <v>1069.768115942029</v>
      </c>
      <c r="L7" s="7">
        <v>11</v>
      </c>
      <c r="M7" s="7" t="s">
        <v>28</v>
      </c>
      <c r="N7" s="9">
        <v>6.5</v>
      </c>
      <c r="O7" s="9">
        <v>8.48</v>
      </c>
      <c r="P7" s="9">
        <v>6.68</v>
      </c>
      <c r="Q7" s="9">
        <v>1.38</v>
      </c>
      <c r="R7" s="9">
        <v>0.18</v>
      </c>
      <c r="S7" s="9">
        <v>0.24</v>
      </c>
      <c r="T7" s="9">
        <v>0</v>
      </c>
      <c r="U7" s="9">
        <v>0</v>
      </c>
      <c r="V7" s="9">
        <v>8.89</v>
      </c>
      <c r="W7" s="9">
        <v>134</v>
      </c>
      <c r="X7" s="9">
        <v>0.44</v>
      </c>
      <c r="Y7" s="9">
        <v>221</v>
      </c>
      <c r="Z7" s="9">
        <v>0.3</v>
      </c>
      <c r="AA7" s="9">
        <v>2.5000000000000001E-2</v>
      </c>
      <c r="AB7" s="9">
        <v>149.1</v>
      </c>
      <c r="AC7" s="9">
        <v>5.68</v>
      </c>
      <c r="AD7" s="9">
        <v>113.6</v>
      </c>
      <c r="AE7" s="9">
        <v>2.54</v>
      </c>
      <c r="AF7" s="9">
        <v>2.58</v>
      </c>
      <c r="AG7" s="9">
        <v>33.6</v>
      </c>
      <c r="AH7" s="9">
        <v>553.79999999999995</v>
      </c>
      <c r="AI7" s="9">
        <v>16.899999999999999</v>
      </c>
      <c r="AJ7" s="9">
        <v>45.6</v>
      </c>
      <c r="AK7" s="9">
        <v>80.099999999999994</v>
      </c>
      <c r="AL7" s="9">
        <v>38.700000000000003</v>
      </c>
      <c r="AM7" s="24"/>
      <c r="AN7" s="24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  <c r="JC7" s="2"/>
      <c r="JD7" s="2"/>
      <c r="JE7" s="2"/>
      <c r="JF7" s="2"/>
      <c r="JG7" s="2"/>
      <c r="JH7" s="2"/>
      <c r="JI7" s="2"/>
      <c r="JJ7" s="2"/>
      <c r="JK7" s="2"/>
      <c r="JL7" s="2"/>
      <c r="JM7" s="2"/>
      <c r="JN7" s="2"/>
      <c r="JO7" s="2"/>
      <c r="JP7" s="2"/>
      <c r="JQ7" s="2"/>
      <c r="JR7" s="2"/>
      <c r="JS7" s="2"/>
      <c r="JT7" s="2"/>
      <c r="JU7" s="2"/>
      <c r="JV7" s="2"/>
      <c r="JW7" s="2"/>
      <c r="JX7" s="2"/>
      <c r="JY7" s="2"/>
      <c r="JZ7" s="2"/>
      <c r="KA7" s="2"/>
      <c r="KB7" s="2"/>
      <c r="KC7" s="2"/>
      <c r="KD7" s="2"/>
      <c r="KE7" s="2"/>
      <c r="KF7" s="2"/>
      <c r="KG7" s="2"/>
      <c r="KH7" s="2"/>
      <c r="KI7" s="2"/>
      <c r="KJ7" s="2"/>
      <c r="KK7" s="2"/>
      <c r="KL7" s="2"/>
      <c r="KM7" s="2"/>
      <c r="KN7" s="2"/>
      <c r="KO7" s="2"/>
      <c r="KP7" s="2"/>
      <c r="KQ7" s="2"/>
      <c r="KR7" s="2"/>
      <c r="KS7" s="2"/>
      <c r="KT7" s="2"/>
      <c r="KU7" s="2"/>
      <c r="KV7" s="2"/>
      <c r="KW7" s="2"/>
      <c r="KX7" s="2"/>
      <c r="KY7" s="2"/>
      <c r="KZ7" s="2"/>
      <c r="LA7" s="2"/>
      <c r="LB7" s="2"/>
      <c r="LC7" s="2"/>
      <c r="LD7" s="2"/>
      <c r="LE7" s="2"/>
      <c r="LF7" s="2"/>
      <c r="LG7" s="2"/>
      <c r="LH7" s="2"/>
      <c r="LI7" s="2"/>
      <c r="LJ7" s="2"/>
      <c r="LK7" s="2"/>
      <c r="LL7" s="2"/>
      <c r="LM7" s="2"/>
      <c r="LN7" s="2"/>
      <c r="LO7" s="2"/>
      <c r="LP7" s="2"/>
      <c r="LQ7" s="2"/>
      <c r="LR7" s="2"/>
      <c r="LS7" s="2"/>
      <c r="LT7" s="2"/>
      <c r="LU7" s="2"/>
      <c r="LV7" s="2"/>
      <c r="LW7" s="2"/>
      <c r="LX7" s="2"/>
      <c r="LY7" s="2"/>
      <c r="LZ7" s="2"/>
      <c r="MA7" s="2"/>
      <c r="MB7" s="2"/>
      <c r="MC7" s="2"/>
      <c r="MD7" s="2"/>
      <c r="ME7" s="2"/>
      <c r="MF7" s="2"/>
      <c r="MG7" s="2"/>
      <c r="MH7" s="2"/>
      <c r="MI7" s="2"/>
      <c r="MJ7" s="2"/>
      <c r="MK7" s="2"/>
      <c r="ML7" s="2"/>
      <c r="MM7" s="2"/>
      <c r="MN7" s="2"/>
      <c r="MO7" s="2"/>
      <c r="MP7" s="2"/>
      <c r="MQ7" s="2"/>
      <c r="MR7" s="2"/>
      <c r="MS7" s="2"/>
      <c r="MT7" s="2"/>
      <c r="MU7" s="2"/>
      <c r="MV7" s="2"/>
      <c r="MW7" s="2"/>
      <c r="MX7" s="2"/>
      <c r="MY7" s="2"/>
      <c r="MZ7" s="2"/>
      <c r="NA7" s="2"/>
      <c r="NB7" s="2"/>
      <c r="NC7" s="2"/>
      <c r="ND7" s="2"/>
      <c r="NE7" s="2"/>
      <c r="NF7" s="2"/>
      <c r="NG7" s="2"/>
      <c r="NH7" s="2"/>
      <c r="NI7" s="2"/>
      <c r="NJ7" s="2"/>
      <c r="NK7" s="2"/>
      <c r="NL7" s="2"/>
      <c r="NM7" s="2"/>
      <c r="NN7" s="2"/>
      <c r="NO7" s="2"/>
      <c r="NP7" s="2"/>
      <c r="NQ7" s="2"/>
      <c r="NR7" s="2"/>
      <c r="NS7" s="2"/>
      <c r="NT7" s="2"/>
      <c r="NU7" s="2"/>
      <c r="NV7" s="2"/>
      <c r="NW7" s="2"/>
      <c r="NX7" s="2"/>
      <c r="NY7" s="2"/>
      <c r="NZ7" s="2"/>
      <c r="OA7" s="2"/>
      <c r="OB7" s="2"/>
      <c r="OC7" s="2"/>
      <c r="OD7" s="2"/>
      <c r="OE7" s="2"/>
      <c r="OF7" s="2"/>
      <c r="OG7" s="2"/>
      <c r="OH7" s="2"/>
      <c r="OI7" s="2"/>
      <c r="OJ7" s="2"/>
      <c r="OK7" s="2"/>
      <c r="OL7" s="2"/>
      <c r="OM7" s="2"/>
      <c r="ON7" s="2"/>
      <c r="OO7" s="2"/>
      <c r="OP7" s="2"/>
      <c r="OQ7" s="2"/>
      <c r="OR7" s="2"/>
      <c r="OS7" s="2"/>
      <c r="OT7" s="2"/>
      <c r="OU7" s="2"/>
      <c r="OV7" s="2"/>
      <c r="OW7" s="2"/>
      <c r="OX7" s="2"/>
      <c r="OY7" s="2"/>
      <c r="OZ7" s="2"/>
      <c r="PA7" s="2"/>
      <c r="PB7" s="2"/>
      <c r="PC7" s="2"/>
      <c r="PD7" s="2"/>
      <c r="PE7" s="2"/>
      <c r="PF7" s="2"/>
      <c r="PG7" s="2"/>
      <c r="PH7" s="2"/>
      <c r="PI7" s="2"/>
      <c r="PJ7" s="2"/>
      <c r="PK7" s="2"/>
      <c r="PL7" s="2"/>
      <c r="PM7" s="2"/>
      <c r="PN7" s="2"/>
      <c r="PO7" s="2"/>
      <c r="PP7" s="2"/>
      <c r="PQ7" s="2"/>
      <c r="PR7" s="2"/>
      <c r="PS7" s="2"/>
      <c r="PT7" s="2"/>
      <c r="PU7" s="2"/>
      <c r="PV7" s="2"/>
      <c r="PW7" s="2"/>
      <c r="PX7" s="2"/>
      <c r="PY7" s="2"/>
      <c r="PZ7" s="2"/>
      <c r="QA7" s="2"/>
      <c r="QB7" s="2"/>
      <c r="QC7" s="2"/>
      <c r="QD7" s="2"/>
      <c r="QE7" s="2"/>
      <c r="QF7" s="2"/>
      <c r="QG7" s="2"/>
      <c r="QH7" s="2"/>
      <c r="QI7" s="2"/>
      <c r="QJ7" s="2"/>
      <c r="QK7" s="2"/>
      <c r="QL7" s="2"/>
      <c r="QM7" s="2"/>
      <c r="QN7" s="2"/>
      <c r="QO7" s="2"/>
      <c r="QP7" s="2"/>
      <c r="QQ7" s="2"/>
      <c r="QR7" s="2"/>
      <c r="QS7" s="2"/>
      <c r="QT7" s="2"/>
      <c r="QU7" s="2"/>
      <c r="QV7" s="2"/>
      <c r="QW7" s="2"/>
      <c r="QX7" s="2"/>
      <c r="QY7" s="2"/>
      <c r="QZ7" s="2"/>
      <c r="RA7" s="2"/>
      <c r="RB7" s="2"/>
      <c r="RC7" s="2"/>
      <c r="RD7" s="2"/>
      <c r="RE7" s="2"/>
      <c r="RF7" s="2"/>
      <c r="RG7" s="2"/>
      <c r="RH7" s="2"/>
      <c r="RI7" s="2"/>
      <c r="RJ7" s="2"/>
      <c r="RK7" s="2"/>
      <c r="RL7" s="2"/>
      <c r="RM7" s="2"/>
      <c r="RN7" s="2"/>
      <c r="RO7" s="2"/>
      <c r="RP7" s="2"/>
      <c r="RQ7" s="2"/>
      <c r="RR7" s="2"/>
      <c r="RS7" s="2"/>
      <c r="RT7" s="2"/>
      <c r="RU7" s="2"/>
      <c r="RV7" s="2"/>
      <c r="RW7" s="2"/>
      <c r="RX7" s="2"/>
      <c r="RY7" s="2"/>
      <c r="RZ7" s="2"/>
      <c r="SA7" s="2"/>
      <c r="SB7" s="2"/>
      <c r="SC7" s="2"/>
      <c r="SD7" s="2"/>
      <c r="SE7" s="2"/>
      <c r="SF7" s="2"/>
      <c r="SG7" s="2"/>
      <c r="SH7" s="2"/>
      <c r="SI7" s="2"/>
      <c r="SJ7" s="2"/>
      <c r="SK7" s="2"/>
      <c r="SL7" s="2"/>
      <c r="SM7" s="2"/>
      <c r="SN7" s="2"/>
      <c r="SO7" s="2"/>
      <c r="SP7" s="2"/>
      <c r="SQ7" s="2"/>
      <c r="SR7" s="2"/>
      <c r="SS7" s="2"/>
      <c r="ST7" s="2"/>
      <c r="SU7" s="2"/>
      <c r="SV7" s="2"/>
      <c r="SW7" s="2"/>
      <c r="SX7" s="2"/>
      <c r="SY7" s="2"/>
      <c r="SZ7" s="2"/>
      <c r="TA7" s="2"/>
      <c r="TB7" s="2"/>
      <c r="TC7" s="2"/>
      <c r="TD7" s="2"/>
      <c r="TE7" s="2"/>
      <c r="TF7" s="2"/>
      <c r="TG7" s="2"/>
      <c r="TH7" s="2"/>
      <c r="TI7" s="2"/>
      <c r="TJ7" s="2"/>
      <c r="TK7" s="2"/>
      <c r="TL7" s="2"/>
      <c r="TM7" s="2"/>
      <c r="TN7" s="2"/>
      <c r="TO7" s="2"/>
      <c r="TP7" s="2"/>
      <c r="TQ7" s="2"/>
      <c r="TR7" s="2"/>
      <c r="TS7" s="2"/>
      <c r="TT7" s="2"/>
      <c r="TU7" s="2"/>
      <c r="TV7" s="2"/>
      <c r="TW7" s="2"/>
      <c r="TX7" s="2"/>
      <c r="TY7" s="2"/>
      <c r="TZ7" s="2"/>
      <c r="UA7" s="2"/>
      <c r="UB7" s="2"/>
      <c r="UC7" s="2"/>
      <c r="UD7" s="2"/>
      <c r="UE7" s="2"/>
      <c r="UF7" s="2"/>
      <c r="UG7" s="2"/>
      <c r="UH7" s="2"/>
      <c r="UI7" s="2"/>
      <c r="UJ7" s="2"/>
      <c r="UK7" s="2"/>
      <c r="UL7" s="2"/>
      <c r="UM7" s="2"/>
      <c r="UN7" s="2"/>
      <c r="UO7" s="2"/>
      <c r="UP7" s="2"/>
      <c r="UQ7" s="2"/>
      <c r="UR7" s="2"/>
      <c r="US7" s="2"/>
      <c r="UT7" s="2"/>
      <c r="UU7" s="2"/>
      <c r="UV7" s="2"/>
      <c r="UW7" s="2"/>
      <c r="UX7" s="2"/>
      <c r="UY7" s="2"/>
      <c r="UZ7" s="2"/>
      <c r="VA7" s="2"/>
      <c r="VB7" s="2"/>
      <c r="VC7" s="2"/>
      <c r="VD7" s="2"/>
      <c r="VE7" s="2"/>
      <c r="VF7" s="2"/>
      <c r="VG7" s="2"/>
      <c r="VH7" s="2"/>
      <c r="VI7" s="2"/>
      <c r="VJ7" s="2"/>
      <c r="VK7" s="2"/>
      <c r="VL7" s="2"/>
      <c r="VM7" s="2"/>
      <c r="VN7" s="2"/>
      <c r="VO7" s="2"/>
      <c r="VP7" s="2"/>
      <c r="VQ7" s="2"/>
      <c r="VR7" s="2"/>
      <c r="VS7" s="2"/>
      <c r="VT7" s="2"/>
      <c r="VU7" s="2"/>
      <c r="VV7" s="2"/>
      <c r="VW7" s="2"/>
      <c r="VX7" s="2"/>
      <c r="VY7" s="2"/>
      <c r="VZ7" s="2"/>
      <c r="WA7" s="2"/>
      <c r="WB7" s="2"/>
      <c r="WC7" s="2"/>
      <c r="WD7" s="2"/>
      <c r="WE7" s="2"/>
      <c r="WF7" s="2"/>
      <c r="WG7" s="2"/>
      <c r="WH7" s="2"/>
      <c r="WI7" s="2"/>
      <c r="WJ7" s="2"/>
      <c r="WK7" s="2"/>
      <c r="WL7" s="2"/>
      <c r="WM7" s="2"/>
      <c r="WN7" s="2"/>
      <c r="WO7" s="2"/>
      <c r="WP7" s="2"/>
      <c r="WQ7" s="2"/>
      <c r="WR7" s="2"/>
      <c r="WS7" s="2"/>
      <c r="WT7" s="2"/>
      <c r="WU7" s="2"/>
      <c r="WV7" s="2"/>
      <c r="WW7" s="2"/>
      <c r="WX7" s="2"/>
      <c r="WY7" s="2"/>
      <c r="WZ7" s="2"/>
      <c r="XA7" s="2"/>
      <c r="XB7" s="2"/>
      <c r="XC7" s="2"/>
      <c r="XD7" s="2"/>
      <c r="XE7" s="2"/>
      <c r="XF7" s="2"/>
      <c r="XG7" s="2"/>
      <c r="XH7" s="2"/>
      <c r="XI7" s="2"/>
      <c r="XJ7" s="2"/>
      <c r="XK7" s="2"/>
      <c r="XL7" s="2"/>
      <c r="XM7" s="2"/>
      <c r="XN7" s="2"/>
      <c r="XO7" s="2"/>
      <c r="XP7" s="2"/>
      <c r="XQ7" s="2"/>
      <c r="XR7" s="2"/>
      <c r="XS7" s="2"/>
      <c r="XT7" s="2"/>
      <c r="XU7" s="2"/>
      <c r="XV7" s="2"/>
      <c r="XW7" s="2"/>
      <c r="XX7" s="2"/>
      <c r="XY7" s="2"/>
      <c r="XZ7" s="2"/>
      <c r="YA7" s="2"/>
      <c r="YB7" s="2"/>
      <c r="YC7" s="2"/>
      <c r="YD7" s="2"/>
      <c r="YE7" s="2"/>
      <c r="YF7" s="2"/>
      <c r="YG7" s="2"/>
      <c r="YH7" s="2"/>
      <c r="YI7" s="2"/>
      <c r="YJ7" s="2"/>
      <c r="YK7" s="2"/>
      <c r="YL7" s="2"/>
      <c r="YM7" s="2"/>
      <c r="YN7" s="2"/>
      <c r="YO7" s="2"/>
      <c r="YP7" s="2"/>
      <c r="YQ7" s="2"/>
      <c r="YR7" s="2"/>
      <c r="YS7" s="2"/>
      <c r="YT7" s="2"/>
      <c r="YU7" s="2"/>
      <c r="YV7" s="2"/>
      <c r="YW7" s="2"/>
      <c r="YX7" s="2"/>
      <c r="YY7" s="2"/>
      <c r="YZ7" s="2"/>
      <c r="ZA7" s="2"/>
      <c r="ZB7" s="2"/>
      <c r="ZC7" s="2"/>
      <c r="ZD7" s="2"/>
      <c r="ZE7" s="2"/>
      <c r="ZF7" s="2"/>
      <c r="ZG7" s="2"/>
      <c r="ZH7" s="2"/>
      <c r="ZI7" s="2"/>
      <c r="ZJ7" s="2"/>
      <c r="ZK7" s="2"/>
      <c r="ZL7" s="2"/>
      <c r="ZM7" s="2"/>
      <c r="ZN7" s="2"/>
      <c r="ZO7" s="2"/>
      <c r="ZP7" s="2"/>
      <c r="ZQ7" s="2"/>
      <c r="ZR7" s="2"/>
      <c r="ZS7" s="2"/>
      <c r="ZT7" s="2"/>
      <c r="ZU7" s="2"/>
      <c r="ZV7" s="2"/>
      <c r="ZW7" s="2"/>
      <c r="ZX7" s="2"/>
      <c r="ZY7" s="2"/>
      <c r="ZZ7" s="2"/>
      <c r="AAA7" s="2"/>
      <c r="AAB7" s="2"/>
      <c r="AAC7" s="2"/>
      <c r="AAD7" s="2"/>
      <c r="AAE7" s="2"/>
      <c r="AAF7" s="2"/>
      <c r="AAG7" s="2"/>
      <c r="AAH7" s="2"/>
      <c r="AAI7" s="2"/>
      <c r="AAJ7" s="2"/>
      <c r="AAK7" s="2"/>
      <c r="AAL7" s="2"/>
      <c r="AAM7" s="2"/>
      <c r="AAN7" s="2"/>
      <c r="AAO7" s="2"/>
      <c r="AAP7" s="2"/>
      <c r="AAQ7" s="2"/>
      <c r="AAR7" s="2"/>
      <c r="AAS7" s="2"/>
      <c r="AAT7" s="2"/>
      <c r="AAU7" s="2"/>
      <c r="AAV7" s="2"/>
      <c r="AAW7" s="2"/>
      <c r="AAX7" s="2"/>
      <c r="AAY7" s="2"/>
      <c r="AAZ7" s="2"/>
      <c r="ABA7" s="2"/>
      <c r="ABB7" s="2"/>
      <c r="ABC7" s="2"/>
      <c r="ABD7" s="2"/>
      <c r="ABE7" s="2"/>
      <c r="ABF7" s="2"/>
      <c r="ABG7" s="2"/>
      <c r="ABH7" s="2"/>
      <c r="ABI7" s="2"/>
      <c r="ABJ7" s="2"/>
      <c r="ABK7" s="2"/>
      <c r="ABL7" s="2"/>
      <c r="ABM7" s="2"/>
      <c r="ABN7" s="2"/>
      <c r="ABO7" s="2"/>
      <c r="ABP7" s="2"/>
      <c r="ABQ7" s="2"/>
      <c r="ABR7" s="2"/>
      <c r="ABS7" s="2"/>
      <c r="ABT7" s="2"/>
      <c r="ABU7" s="2"/>
      <c r="ABV7" s="2"/>
      <c r="ABW7" s="2"/>
      <c r="ABX7" s="2"/>
      <c r="ABY7" s="2"/>
      <c r="ABZ7" s="2"/>
      <c r="ACA7" s="2"/>
      <c r="ACB7" s="2"/>
      <c r="ACC7" s="2"/>
      <c r="ACD7" s="2"/>
      <c r="ACE7" s="2"/>
      <c r="ACF7" s="2"/>
      <c r="ACG7" s="2"/>
      <c r="ACH7" s="2"/>
      <c r="ACI7" s="2"/>
      <c r="ACJ7" s="2"/>
      <c r="ACK7" s="2"/>
      <c r="ACL7" s="2"/>
      <c r="ACM7" s="2"/>
      <c r="ACN7" s="2"/>
      <c r="ACO7" s="2"/>
      <c r="ACP7" s="2"/>
      <c r="ACQ7" s="2"/>
      <c r="ACR7" s="2"/>
      <c r="ACS7" s="2"/>
      <c r="ACT7" s="2"/>
      <c r="ACU7" s="2"/>
      <c r="ACV7" s="2"/>
      <c r="ACW7" s="2"/>
      <c r="ACX7" s="2"/>
      <c r="ACY7" s="2"/>
      <c r="ACZ7" s="2"/>
      <c r="ADA7" s="2"/>
      <c r="ADB7" s="2"/>
      <c r="ADC7" s="2"/>
      <c r="ADD7" s="2"/>
      <c r="ADE7" s="2"/>
      <c r="ADF7" s="2"/>
      <c r="ADG7" s="2"/>
      <c r="ADH7" s="2"/>
      <c r="ADI7" s="2"/>
      <c r="ADJ7" s="2"/>
      <c r="ADK7" s="2"/>
      <c r="ADL7" s="2"/>
      <c r="ADM7" s="2"/>
      <c r="ADN7" s="2"/>
      <c r="ADO7" s="2"/>
      <c r="ADP7" s="2"/>
      <c r="ADQ7" s="2"/>
      <c r="ADR7" s="2"/>
      <c r="ADS7" s="2"/>
      <c r="ADT7" s="2"/>
      <c r="ADU7" s="2"/>
      <c r="ADV7" s="2"/>
      <c r="ADW7" s="2"/>
      <c r="ADX7" s="2"/>
      <c r="ADY7" s="2"/>
      <c r="ADZ7" s="2"/>
      <c r="AEA7" s="2"/>
      <c r="AEB7" s="2"/>
      <c r="AEC7" s="2"/>
      <c r="AED7" s="2"/>
      <c r="AEE7" s="2"/>
      <c r="AEF7" s="2"/>
      <c r="AEG7" s="2"/>
      <c r="AEH7" s="2"/>
      <c r="AEI7" s="2"/>
      <c r="AEJ7" s="2"/>
      <c r="AEK7" s="2"/>
      <c r="AEL7" s="2"/>
      <c r="AEM7" s="2"/>
      <c r="AEN7" s="2"/>
      <c r="AEO7" s="2"/>
      <c r="AEP7" s="2"/>
      <c r="AEQ7" s="2"/>
      <c r="AER7" s="2"/>
      <c r="AES7" s="2"/>
      <c r="AET7" s="2"/>
      <c r="AEU7" s="2"/>
      <c r="AEV7" s="2"/>
      <c r="AEW7" s="2"/>
      <c r="AEX7" s="2"/>
      <c r="AEY7" s="2"/>
      <c r="AEZ7" s="2"/>
      <c r="AFA7" s="2"/>
      <c r="AFB7" s="2"/>
      <c r="AFC7" s="2"/>
      <c r="AFD7" s="2"/>
      <c r="AFE7" s="2"/>
      <c r="AFF7" s="2"/>
      <c r="AFG7" s="2"/>
      <c r="AFH7" s="2"/>
      <c r="AFI7" s="2"/>
      <c r="AFJ7" s="2"/>
      <c r="AFK7" s="2"/>
      <c r="AFL7" s="2"/>
      <c r="AFM7" s="2"/>
      <c r="AFN7" s="2"/>
      <c r="AFO7" s="2"/>
      <c r="AFP7" s="2"/>
      <c r="AFQ7" s="2"/>
      <c r="AFR7" s="2"/>
      <c r="AFS7" s="2"/>
      <c r="AFT7" s="2"/>
      <c r="AFU7" s="2"/>
      <c r="AFV7" s="2"/>
      <c r="AFW7" s="2"/>
      <c r="AFX7" s="2"/>
      <c r="AFY7" s="2"/>
      <c r="AFZ7" s="2"/>
      <c r="AGA7" s="2"/>
      <c r="AGB7" s="2"/>
      <c r="AGC7" s="2"/>
      <c r="AGD7" s="2"/>
      <c r="AGE7" s="2"/>
      <c r="AGF7" s="2"/>
      <c r="AGG7" s="2"/>
      <c r="AGH7" s="2"/>
      <c r="AGI7" s="2"/>
      <c r="AGJ7" s="2"/>
      <c r="AGK7" s="2"/>
      <c r="AGL7" s="2"/>
      <c r="AGM7" s="2"/>
      <c r="AGN7" s="2"/>
      <c r="AGO7" s="2"/>
      <c r="AGP7" s="2"/>
      <c r="AGQ7" s="2"/>
      <c r="AGR7" s="2"/>
      <c r="AGS7" s="2"/>
      <c r="AGT7" s="2"/>
      <c r="AGU7" s="2"/>
      <c r="AGV7" s="2"/>
      <c r="AGW7" s="2"/>
      <c r="AGX7" s="2"/>
      <c r="AGY7" s="2"/>
      <c r="AGZ7" s="2"/>
      <c r="AHA7" s="2"/>
      <c r="AHB7" s="2"/>
      <c r="AHC7" s="2"/>
      <c r="AHD7" s="2"/>
      <c r="AHE7" s="2"/>
      <c r="AHF7" s="2"/>
      <c r="AHG7" s="2"/>
      <c r="AHH7" s="2"/>
      <c r="AHI7" s="2"/>
      <c r="AHJ7" s="2"/>
      <c r="AHK7" s="2"/>
      <c r="AHL7" s="2"/>
      <c r="AHM7" s="2"/>
      <c r="AHN7" s="2"/>
      <c r="AHO7" s="2"/>
      <c r="AHP7" s="2"/>
      <c r="AHQ7" s="2"/>
      <c r="AHR7" s="2"/>
      <c r="AHS7" s="2"/>
      <c r="AHT7" s="2"/>
      <c r="AHU7" s="2"/>
      <c r="AHV7" s="2"/>
      <c r="AHW7" s="2"/>
      <c r="AHX7" s="2"/>
      <c r="AHY7" s="2"/>
      <c r="AHZ7" s="2"/>
      <c r="AIA7" s="2"/>
      <c r="AIB7" s="2"/>
      <c r="AIC7" s="2"/>
      <c r="AID7" s="2"/>
      <c r="AIE7" s="2"/>
      <c r="AIF7" s="2"/>
      <c r="AIG7" s="2"/>
      <c r="AIH7" s="2"/>
      <c r="AII7" s="2"/>
      <c r="AIJ7" s="2"/>
      <c r="AIK7" s="2"/>
      <c r="AIL7" s="2"/>
      <c r="AIM7" s="2"/>
      <c r="AIN7" s="2"/>
      <c r="AIO7" s="2"/>
      <c r="AIP7" s="2"/>
      <c r="AIQ7" s="2"/>
      <c r="AIR7" s="2"/>
      <c r="AIS7" s="2"/>
      <c r="AIT7" s="2"/>
      <c r="AIU7" s="2"/>
      <c r="AIV7" s="2"/>
      <c r="AIW7" s="2"/>
      <c r="AIX7" s="2"/>
      <c r="AIY7" s="2"/>
      <c r="AIZ7" s="2"/>
      <c r="AJA7" s="2"/>
      <c r="AJB7" s="2"/>
      <c r="AJC7" s="2"/>
      <c r="AJD7" s="2"/>
      <c r="AJE7" s="2"/>
      <c r="AJF7" s="2"/>
      <c r="AJG7" s="2"/>
      <c r="AJH7" s="2"/>
      <c r="AJI7" s="2"/>
      <c r="AJJ7" s="2"/>
      <c r="AJK7" s="2"/>
      <c r="AJL7" s="2"/>
      <c r="AJM7" s="2"/>
      <c r="AJN7" s="2"/>
      <c r="AJO7" s="2"/>
      <c r="AJP7" s="2"/>
      <c r="AJQ7" s="2"/>
      <c r="AJR7" s="2"/>
      <c r="AJS7" s="2"/>
      <c r="AJT7" s="2"/>
      <c r="AJU7" s="2"/>
      <c r="AJV7" s="2"/>
      <c r="AJW7" s="2"/>
      <c r="AJX7" s="2"/>
      <c r="AJY7" s="2"/>
      <c r="AJZ7" s="2"/>
      <c r="AKA7" s="2"/>
    </row>
    <row r="8" spans="1:963">
      <c r="A8" s="16">
        <v>7</v>
      </c>
      <c r="B8" s="2">
        <v>4</v>
      </c>
      <c r="C8" s="21">
        <v>3.96</v>
      </c>
      <c r="D8" s="9">
        <v>3.6</v>
      </c>
      <c r="E8" s="9">
        <v>0.1</v>
      </c>
      <c r="F8" s="9">
        <v>0.13</v>
      </c>
      <c r="G8" s="21">
        <v>142</v>
      </c>
      <c r="H8" s="9">
        <f t="shared" si="3"/>
        <v>36</v>
      </c>
      <c r="I8" s="9">
        <f t="shared" si="0"/>
        <v>1.3</v>
      </c>
      <c r="J8" s="9">
        <f t="shared" si="1"/>
        <v>1420</v>
      </c>
      <c r="K8" s="9">
        <f t="shared" si="2"/>
        <v>5112</v>
      </c>
      <c r="L8" s="21">
        <v>11</v>
      </c>
      <c r="M8" s="21" t="s">
        <v>27</v>
      </c>
      <c r="N8" s="21">
        <v>2.88</v>
      </c>
      <c r="O8" s="9">
        <v>3.96</v>
      </c>
      <c r="P8" s="9">
        <v>3.6</v>
      </c>
      <c r="Q8" s="9">
        <v>0.1</v>
      </c>
      <c r="R8" s="9">
        <v>0.13</v>
      </c>
      <c r="S8" s="9">
        <v>0.1</v>
      </c>
      <c r="T8" s="9">
        <v>0.03</v>
      </c>
      <c r="U8" s="9">
        <v>0</v>
      </c>
      <c r="V8" s="22">
        <v>3.38</v>
      </c>
      <c r="W8" s="22">
        <v>139</v>
      </c>
      <c r="X8" s="22">
        <v>0.15</v>
      </c>
      <c r="Y8" s="22">
        <v>142</v>
      </c>
      <c r="Z8" s="18"/>
      <c r="AA8" s="18"/>
      <c r="AB8" s="22">
        <v>156.6</v>
      </c>
      <c r="AC8" s="22">
        <v>7.35</v>
      </c>
      <c r="AD8" s="22">
        <v>117.4</v>
      </c>
      <c r="AE8" s="22">
        <v>2.59</v>
      </c>
      <c r="AF8" s="22">
        <v>8.2200000000000006</v>
      </c>
      <c r="AG8" s="22">
        <v>123.35</v>
      </c>
      <c r="AH8" s="22">
        <v>2473.7800000000002</v>
      </c>
      <c r="AI8" s="22">
        <v>11</v>
      </c>
      <c r="AJ8" s="22">
        <v>84.6</v>
      </c>
      <c r="AK8" s="22">
        <v>93.1</v>
      </c>
      <c r="AL8" s="22">
        <v>36.4</v>
      </c>
      <c r="AM8" s="27">
        <v>1.0269999999999999</v>
      </c>
      <c r="AN8" s="27">
        <v>2.63</v>
      </c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  <c r="JC8" s="2"/>
      <c r="JD8" s="2"/>
      <c r="JE8" s="2"/>
      <c r="JF8" s="2"/>
      <c r="JG8" s="2"/>
      <c r="JH8" s="2"/>
      <c r="JI8" s="2"/>
      <c r="JJ8" s="2"/>
      <c r="JK8" s="2"/>
      <c r="JL8" s="2"/>
      <c r="JM8" s="2"/>
      <c r="JN8" s="2"/>
      <c r="JO8" s="2"/>
      <c r="JP8" s="2"/>
      <c r="JQ8" s="2"/>
      <c r="JR8" s="2"/>
      <c r="JS8" s="2"/>
      <c r="JT8" s="2"/>
      <c r="JU8" s="2"/>
      <c r="JV8" s="2"/>
      <c r="JW8" s="2"/>
      <c r="JX8" s="2"/>
      <c r="JY8" s="2"/>
      <c r="JZ8" s="2"/>
      <c r="KA8" s="2"/>
      <c r="KB8" s="2"/>
      <c r="KC8" s="2"/>
      <c r="KD8" s="2"/>
      <c r="KE8" s="2"/>
      <c r="KF8" s="2"/>
      <c r="KG8" s="2"/>
      <c r="KH8" s="2"/>
      <c r="KI8" s="2"/>
      <c r="KJ8" s="2"/>
      <c r="KK8" s="2"/>
      <c r="KL8" s="2"/>
      <c r="KM8" s="2"/>
      <c r="KN8" s="2"/>
      <c r="KO8" s="2"/>
      <c r="KP8" s="2"/>
      <c r="KQ8" s="2"/>
      <c r="KR8" s="2"/>
      <c r="KS8" s="2"/>
      <c r="KT8" s="2"/>
      <c r="KU8" s="2"/>
      <c r="KV8" s="2"/>
      <c r="KW8" s="2"/>
      <c r="KX8" s="2"/>
      <c r="KY8" s="2"/>
      <c r="KZ8" s="2"/>
      <c r="LA8" s="2"/>
      <c r="LB8" s="2"/>
      <c r="LC8" s="2"/>
      <c r="LD8" s="2"/>
      <c r="LE8" s="2"/>
      <c r="LF8" s="2"/>
      <c r="LG8" s="2"/>
      <c r="LH8" s="2"/>
      <c r="LI8" s="2"/>
      <c r="LJ8" s="2"/>
      <c r="LK8" s="2"/>
      <c r="LL8" s="2"/>
      <c r="LM8" s="2"/>
      <c r="LN8" s="2"/>
      <c r="LO8" s="2"/>
      <c r="LP8" s="2"/>
      <c r="LQ8" s="2"/>
      <c r="LR8" s="2"/>
      <c r="LS8" s="2"/>
      <c r="LT8" s="2"/>
      <c r="LU8" s="2"/>
      <c r="LV8" s="2"/>
      <c r="LW8" s="2"/>
      <c r="LX8" s="2"/>
      <c r="LY8" s="2"/>
      <c r="LZ8" s="2"/>
      <c r="MA8" s="2"/>
      <c r="MB8" s="2"/>
      <c r="MC8" s="2"/>
      <c r="MD8" s="2"/>
      <c r="ME8" s="2"/>
      <c r="MF8" s="2"/>
      <c r="MG8" s="2"/>
      <c r="MH8" s="2"/>
      <c r="MI8" s="2"/>
      <c r="MJ8" s="2"/>
      <c r="MK8" s="2"/>
      <c r="ML8" s="2"/>
      <c r="MM8" s="2"/>
      <c r="MN8" s="2"/>
      <c r="MO8" s="2"/>
      <c r="MP8" s="2"/>
      <c r="MQ8" s="2"/>
      <c r="MR8" s="2"/>
      <c r="MS8" s="2"/>
      <c r="MT8" s="2"/>
      <c r="MU8" s="2"/>
      <c r="MV8" s="2"/>
      <c r="MW8" s="2"/>
      <c r="MX8" s="2"/>
      <c r="MY8" s="2"/>
      <c r="MZ8" s="2"/>
      <c r="NA8" s="2"/>
      <c r="NB8" s="2"/>
      <c r="NC8" s="2"/>
      <c r="ND8" s="2"/>
      <c r="NE8" s="2"/>
      <c r="NF8" s="2"/>
      <c r="NG8" s="2"/>
      <c r="NH8" s="2"/>
      <c r="NI8" s="2"/>
      <c r="NJ8" s="2"/>
      <c r="NK8" s="2"/>
      <c r="NL8" s="2"/>
      <c r="NM8" s="2"/>
      <c r="NN8" s="2"/>
      <c r="NO8" s="2"/>
      <c r="NP8" s="2"/>
      <c r="NQ8" s="2"/>
      <c r="NR8" s="2"/>
      <c r="NS8" s="2"/>
      <c r="NT8" s="2"/>
      <c r="NU8" s="2"/>
      <c r="NV8" s="2"/>
      <c r="NW8" s="2"/>
      <c r="NX8" s="2"/>
      <c r="NY8" s="2"/>
      <c r="NZ8" s="2"/>
      <c r="OA8" s="2"/>
      <c r="OB8" s="2"/>
      <c r="OC8" s="2"/>
      <c r="OD8" s="2"/>
      <c r="OE8" s="2"/>
      <c r="OF8" s="2"/>
      <c r="OG8" s="2"/>
      <c r="OH8" s="2"/>
      <c r="OI8" s="2"/>
      <c r="OJ8" s="2"/>
      <c r="OK8" s="2"/>
      <c r="OL8" s="2"/>
      <c r="OM8" s="2"/>
      <c r="ON8" s="2"/>
      <c r="OO8" s="2"/>
      <c r="OP8" s="2"/>
      <c r="OQ8" s="2"/>
      <c r="OR8" s="2"/>
      <c r="OS8" s="2"/>
      <c r="OT8" s="2"/>
      <c r="OU8" s="2"/>
      <c r="OV8" s="2"/>
      <c r="OW8" s="2"/>
      <c r="OX8" s="2"/>
      <c r="OY8" s="2"/>
      <c r="OZ8" s="2"/>
      <c r="PA8" s="2"/>
      <c r="PB8" s="2"/>
      <c r="PC8" s="2"/>
      <c r="PD8" s="2"/>
      <c r="PE8" s="2"/>
      <c r="PF8" s="2"/>
      <c r="PG8" s="2"/>
      <c r="PH8" s="2"/>
      <c r="PI8" s="2"/>
      <c r="PJ8" s="2"/>
      <c r="PK8" s="2"/>
      <c r="PL8" s="2"/>
      <c r="PM8" s="2"/>
      <c r="PN8" s="2"/>
      <c r="PO8" s="2"/>
      <c r="PP8" s="2"/>
      <c r="PQ8" s="2"/>
      <c r="PR8" s="2"/>
      <c r="PS8" s="2"/>
      <c r="PT8" s="2"/>
      <c r="PU8" s="2"/>
      <c r="PV8" s="2"/>
      <c r="PW8" s="2"/>
      <c r="PX8" s="2"/>
      <c r="PY8" s="2"/>
      <c r="PZ8" s="2"/>
      <c r="QA8" s="2"/>
      <c r="QB8" s="2"/>
      <c r="QC8" s="2"/>
      <c r="QD8" s="2"/>
      <c r="QE8" s="2"/>
      <c r="QF8" s="2"/>
      <c r="QG8" s="2"/>
      <c r="QH8" s="2"/>
      <c r="QI8" s="2"/>
      <c r="QJ8" s="2"/>
      <c r="QK8" s="2"/>
      <c r="QL8" s="2"/>
      <c r="QM8" s="2"/>
      <c r="QN8" s="2"/>
      <c r="QO8" s="2"/>
      <c r="QP8" s="2"/>
      <c r="QQ8" s="2"/>
      <c r="QR8" s="2"/>
      <c r="QS8" s="2"/>
      <c r="QT8" s="2"/>
      <c r="QU8" s="2"/>
      <c r="QV8" s="2"/>
      <c r="QW8" s="2"/>
      <c r="QX8" s="2"/>
      <c r="QY8" s="2"/>
      <c r="QZ8" s="2"/>
      <c r="RA8" s="2"/>
      <c r="RB8" s="2"/>
      <c r="RC8" s="2"/>
      <c r="RD8" s="2"/>
      <c r="RE8" s="2"/>
      <c r="RF8" s="2"/>
      <c r="RG8" s="2"/>
      <c r="RH8" s="2"/>
      <c r="RI8" s="2"/>
      <c r="RJ8" s="2"/>
      <c r="RK8" s="2"/>
      <c r="RL8" s="2"/>
      <c r="RM8" s="2"/>
      <c r="RN8" s="2"/>
      <c r="RO8" s="2"/>
      <c r="RP8" s="2"/>
      <c r="RQ8" s="2"/>
      <c r="RR8" s="2"/>
      <c r="RS8" s="2"/>
      <c r="RT8" s="2"/>
      <c r="RU8" s="2"/>
      <c r="RV8" s="2"/>
      <c r="RW8" s="2"/>
      <c r="RX8" s="2"/>
      <c r="RY8" s="2"/>
      <c r="RZ8" s="2"/>
      <c r="SA8" s="2"/>
      <c r="SB8" s="2"/>
      <c r="SC8" s="2"/>
      <c r="SD8" s="2"/>
      <c r="SE8" s="2"/>
      <c r="SF8" s="2"/>
      <c r="SG8" s="2"/>
      <c r="SH8" s="2"/>
      <c r="SI8" s="2"/>
      <c r="SJ8" s="2"/>
      <c r="SK8" s="2"/>
      <c r="SL8" s="2"/>
      <c r="SM8" s="2"/>
      <c r="SN8" s="2"/>
      <c r="SO8" s="2"/>
      <c r="SP8" s="2"/>
      <c r="SQ8" s="2"/>
      <c r="SR8" s="2"/>
      <c r="SS8" s="2"/>
      <c r="ST8" s="2"/>
      <c r="SU8" s="2"/>
      <c r="SV8" s="2"/>
      <c r="SW8" s="2"/>
      <c r="SX8" s="2"/>
      <c r="SY8" s="2"/>
      <c r="SZ8" s="2"/>
      <c r="TA8" s="2"/>
      <c r="TB8" s="2"/>
      <c r="TC8" s="2"/>
      <c r="TD8" s="2"/>
      <c r="TE8" s="2"/>
      <c r="TF8" s="2"/>
      <c r="TG8" s="2"/>
      <c r="TH8" s="2"/>
      <c r="TI8" s="2"/>
      <c r="TJ8" s="2"/>
      <c r="TK8" s="2"/>
      <c r="TL8" s="2"/>
      <c r="TM8" s="2"/>
      <c r="TN8" s="2"/>
      <c r="TO8" s="2"/>
      <c r="TP8" s="2"/>
      <c r="TQ8" s="2"/>
      <c r="TR8" s="2"/>
      <c r="TS8" s="2"/>
      <c r="TT8" s="2"/>
      <c r="TU8" s="2"/>
      <c r="TV8" s="2"/>
      <c r="TW8" s="2"/>
      <c r="TX8" s="2"/>
      <c r="TY8" s="2"/>
      <c r="TZ8" s="2"/>
      <c r="UA8" s="2"/>
      <c r="UB8" s="2"/>
      <c r="UC8" s="2"/>
      <c r="UD8" s="2"/>
      <c r="UE8" s="2"/>
      <c r="UF8" s="2"/>
      <c r="UG8" s="2"/>
      <c r="UH8" s="2"/>
      <c r="UI8" s="2"/>
      <c r="UJ8" s="2"/>
      <c r="UK8" s="2"/>
      <c r="UL8" s="2"/>
      <c r="UM8" s="2"/>
      <c r="UN8" s="2"/>
      <c r="UO8" s="2"/>
      <c r="UP8" s="2"/>
      <c r="UQ8" s="2"/>
      <c r="UR8" s="2"/>
      <c r="US8" s="2"/>
      <c r="UT8" s="2"/>
      <c r="UU8" s="2"/>
      <c r="UV8" s="2"/>
      <c r="UW8" s="2"/>
      <c r="UX8" s="2"/>
      <c r="UY8" s="2"/>
      <c r="UZ8" s="2"/>
      <c r="VA8" s="2"/>
      <c r="VB8" s="2"/>
      <c r="VC8" s="2"/>
      <c r="VD8" s="2"/>
      <c r="VE8" s="2"/>
      <c r="VF8" s="2"/>
      <c r="VG8" s="2"/>
      <c r="VH8" s="2"/>
      <c r="VI8" s="2"/>
      <c r="VJ8" s="2"/>
      <c r="VK8" s="2"/>
      <c r="VL8" s="2"/>
      <c r="VM8" s="2"/>
      <c r="VN8" s="2"/>
      <c r="VO8" s="2"/>
      <c r="VP8" s="2"/>
      <c r="VQ8" s="2"/>
      <c r="VR8" s="2"/>
      <c r="VS8" s="2"/>
      <c r="VT8" s="2"/>
      <c r="VU8" s="2"/>
      <c r="VV8" s="2"/>
      <c r="VW8" s="2"/>
      <c r="VX8" s="2"/>
      <c r="VY8" s="2"/>
      <c r="VZ8" s="2"/>
      <c r="WA8" s="2"/>
      <c r="WB8" s="2"/>
      <c r="WC8" s="2"/>
      <c r="WD8" s="2"/>
      <c r="WE8" s="2"/>
      <c r="WF8" s="2"/>
      <c r="WG8" s="2"/>
      <c r="WH8" s="2"/>
      <c r="WI8" s="2"/>
      <c r="WJ8" s="2"/>
      <c r="WK8" s="2"/>
      <c r="WL8" s="2"/>
      <c r="WM8" s="2"/>
      <c r="WN8" s="2"/>
      <c r="WO8" s="2"/>
      <c r="WP8" s="2"/>
      <c r="WQ8" s="2"/>
      <c r="WR8" s="2"/>
      <c r="WS8" s="2"/>
      <c r="WT8" s="2"/>
      <c r="WU8" s="2"/>
      <c r="WV8" s="2"/>
      <c r="WW8" s="2"/>
      <c r="WX8" s="2"/>
      <c r="WY8" s="2"/>
      <c r="WZ8" s="2"/>
      <c r="XA8" s="2"/>
      <c r="XB8" s="2"/>
      <c r="XC8" s="2"/>
      <c r="XD8" s="2"/>
      <c r="XE8" s="2"/>
      <c r="XF8" s="2"/>
      <c r="XG8" s="2"/>
      <c r="XH8" s="2"/>
      <c r="XI8" s="2"/>
      <c r="XJ8" s="2"/>
      <c r="XK8" s="2"/>
      <c r="XL8" s="2"/>
      <c r="XM8" s="2"/>
      <c r="XN8" s="2"/>
      <c r="XO8" s="2"/>
      <c r="XP8" s="2"/>
      <c r="XQ8" s="2"/>
      <c r="XR8" s="2"/>
      <c r="XS8" s="2"/>
      <c r="XT8" s="2"/>
      <c r="XU8" s="2"/>
      <c r="XV8" s="2"/>
      <c r="XW8" s="2"/>
      <c r="XX8" s="2"/>
      <c r="XY8" s="2"/>
      <c r="XZ8" s="2"/>
      <c r="YA8" s="2"/>
      <c r="YB8" s="2"/>
      <c r="YC8" s="2"/>
      <c r="YD8" s="2"/>
      <c r="YE8" s="2"/>
      <c r="YF8" s="2"/>
      <c r="YG8" s="2"/>
      <c r="YH8" s="2"/>
      <c r="YI8" s="2"/>
      <c r="YJ8" s="2"/>
      <c r="YK8" s="2"/>
      <c r="YL8" s="2"/>
      <c r="YM8" s="2"/>
      <c r="YN8" s="2"/>
      <c r="YO8" s="2"/>
      <c r="YP8" s="2"/>
      <c r="YQ8" s="2"/>
      <c r="YR8" s="2"/>
      <c r="YS8" s="2"/>
      <c r="YT8" s="2"/>
      <c r="YU8" s="2"/>
      <c r="YV8" s="2"/>
      <c r="YW8" s="2"/>
      <c r="YX8" s="2"/>
      <c r="YY8" s="2"/>
      <c r="YZ8" s="2"/>
      <c r="ZA8" s="2"/>
      <c r="ZB8" s="2"/>
      <c r="ZC8" s="2"/>
      <c r="ZD8" s="2"/>
      <c r="ZE8" s="2"/>
      <c r="ZF8" s="2"/>
      <c r="ZG8" s="2"/>
      <c r="ZH8" s="2"/>
      <c r="ZI8" s="2"/>
      <c r="ZJ8" s="2"/>
      <c r="ZK8" s="2"/>
      <c r="ZL8" s="2"/>
      <c r="ZM8" s="2"/>
      <c r="ZN8" s="2"/>
      <c r="ZO8" s="2"/>
      <c r="ZP8" s="2"/>
      <c r="ZQ8" s="2"/>
      <c r="ZR8" s="2"/>
      <c r="ZS8" s="2"/>
      <c r="ZT8" s="2"/>
      <c r="ZU8" s="2"/>
      <c r="ZV8" s="2"/>
      <c r="ZW8" s="2"/>
      <c r="ZX8" s="2"/>
      <c r="ZY8" s="2"/>
      <c r="ZZ8" s="2"/>
      <c r="AAA8" s="2"/>
      <c r="AAB8" s="2"/>
      <c r="AAC8" s="2"/>
      <c r="AAD8" s="2"/>
      <c r="AAE8" s="2"/>
      <c r="AAF8" s="2"/>
      <c r="AAG8" s="2"/>
      <c r="AAH8" s="2"/>
      <c r="AAI8" s="2"/>
      <c r="AAJ8" s="2"/>
      <c r="AAK8" s="2"/>
      <c r="AAL8" s="2"/>
      <c r="AAM8" s="2"/>
      <c r="AAN8" s="2"/>
      <c r="AAO8" s="2"/>
      <c r="AAP8" s="2"/>
      <c r="AAQ8" s="2"/>
      <c r="AAR8" s="2"/>
      <c r="AAS8" s="2"/>
      <c r="AAT8" s="2"/>
      <c r="AAU8" s="2"/>
      <c r="AAV8" s="2"/>
      <c r="AAW8" s="2"/>
      <c r="AAX8" s="2"/>
      <c r="AAY8" s="2"/>
      <c r="AAZ8" s="2"/>
      <c r="ABA8" s="2"/>
      <c r="ABB8" s="2"/>
      <c r="ABC8" s="2"/>
      <c r="ABD8" s="2"/>
      <c r="ABE8" s="2"/>
      <c r="ABF8" s="2"/>
      <c r="ABG8" s="2"/>
      <c r="ABH8" s="2"/>
      <c r="ABI8" s="2"/>
      <c r="ABJ8" s="2"/>
      <c r="ABK8" s="2"/>
      <c r="ABL8" s="2"/>
      <c r="ABM8" s="2"/>
      <c r="ABN8" s="2"/>
      <c r="ABO8" s="2"/>
      <c r="ABP8" s="2"/>
      <c r="ABQ8" s="2"/>
      <c r="ABR8" s="2"/>
      <c r="ABS8" s="2"/>
      <c r="ABT8" s="2"/>
      <c r="ABU8" s="2"/>
      <c r="ABV8" s="2"/>
      <c r="ABW8" s="2"/>
      <c r="ABX8" s="2"/>
      <c r="ABY8" s="2"/>
      <c r="ABZ8" s="2"/>
      <c r="ACA8" s="2"/>
      <c r="ACB8" s="2"/>
      <c r="ACC8" s="2"/>
      <c r="ACD8" s="2"/>
      <c r="ACE8" s="2"/>
      <c r="ACF8" s="2"/>
      <c r="ACG8" s="2"/>
      <c r="ACH8" s="2"/>
      <c r="ACI8" s="2"/>
      <c r="ACJ8" s="2"/>
      <c r="ACK8" s="2"/>
      <c r="ACL8" s="2"/>
      <c r="ACM8" s="2"/>
      <c r="ACN8" s="2"/>
      <c r="ACO8" s="2"/>
      <c r="ACP8" s="2"/>
      <c r="ACQ8" s="2"/>
      <c r="ACR8" s="2"/>
      <c r="ACS8" s="2"/>
      <c r="ACT8" s="2"/>
      <c r="ACU8" s="2"/>
      <c r="ACV8" s="2"/>
      <c r="ACW8" s="2"/>
      <c r="ACX8" s="2"/>
      <c r="ACY8" s="2"/>
      <c r="ACZ8" s="2"/>
      <c r="ADA8" s="2"/>
      <c r="ADB8" s="2"/>
      <c r="ADC8" s="2"/>
      <c r="ADD8" s="2"/>
      <c r="ADE8" s="2"/>
      <c r="ADF8" s="2"/>
      <c r="ADG8" s="2"/>
      <c r="ADH8" s="2"/>
      <c r="ADI8" s="2"/>
      <c r="ADJ8" s="2"/>
      <c r="ADK8" s="2"/>
      <c r="ADL8" s="2"/>
      <c r="ADM8" s="2"/>
      <c r="ADN8" s="2"/>
      <c r="ADO8" s="2"/>
      <c r="ADP8" s="2"/>
      <c r="ADQ8" s="2"/>
      <c r="ADR8" s="2"/>
      <c r="ADS8" s="2"/>
      <c r="ADT8" s="2"/>
      <c r="ADU8" s="2"/>
      <c r="ADV8" s="2"/>
      <c r="ADW8" s="2"/>
      <c r="ADX8" s="2"/>
      <c r="ADY8" s="2"/>
      <c r="ADZ8" s="2"/>
      <c r="AEA8" s="2"/>
      <c r="AEB8" s="2"/>
      <c r="AEC8" s="2"/>
      <c r="AED8" s="2"/>
      <c r="AEE8" s="2"/>
      <c r="AEF8" s="2"/>
      <c r="AEG8" s="2"/>
      <c r="AEH8" s="2"/>
      <c r="AEI8" s="2"/>
      <c r="AEJ8" s="2"/>
      <c r="AEK8" s="2"/>
      <c r="AEL8" s="2"/>
      <c r="AEM8" s="2"/>
      <c r="AEN8" s="2"/>
      <c r="AEO8" s="2"/>
      <c r="AEP8" s="2"/>
      <c r="AEQ8" s="2"/>
      <c r="AER8" s="2"/>
      <c r="AES8" s="2"/>
      <c r="AET8" s="2"/>
      <c r="AEU8" s="2"/>
      <c r="AEV8" s="2"/>
      <c r="AEW8" s="2"/>
      <c r="AEX8" s="2"/>
      <c r="AEY8" s="2"/>
      <c r="AEZ8" s="2"/>
      <c r="AFA8" s="2"/>
      <c r="AFB8" s="2"/>
      <c r="AFC8" s="2"/>
      <c r="AFD8" s="2"/>
      <c r="AFE8" s="2"/>
      <c r="AFF8" s="2"/>
      <c r="AFG8" s="2"/>
      <c r="AFH8" s="2"/>
      <c r="AFI8" s="2"/>
      <c r="AFJ8" s="2"/>
      <c r="AFK8" s="2"/>
      <c r="AFL8" s="2"/>
      <c r="AFM8" s="2"/>
      <c r="AFN8" s="2"/>
      <c r="AFO8" s="2"/>
      <c r="AFP8" s="2"/>
      <c r="AFQ8" s="2"/>
      <c r="AFR8" s="2"/>
      <c r="AFS8" s="2"/>
      <c r="AFT8" s="2"/>
      <c r="AFU8" s="2"/>
      <c r="AFV8" s="2"/>
      <c r="AFW8" s="2"/>
      <c r="AFX8" s="2"/>
      <c r="AFY8" s="2"/>
      <c r="AFZ8" s="2"/>
      <c r="AGA8" s="2"/>
      <c r="AGB8" s="2"/>
      <c r="AGC8" s="2"/>
      <c r="AGD8" s="2"/>
      <c r="AGE8" s="2"/>
      <c r="AGF8" s="2"/>
      <c r="AGG8" s="2"/>
      <c r="AGH8" s="2"/>
      <c r="AGI8" s="2"/>
      <c r="AGJ8" s="2"/>
      <c r="AGK8" s="2"/>
      <c r="AGL8" s="2"/>
      <c r="AGM8" s="2"/>
      <c r="AGN8" s="2"/>
      <c r="AGO8" s="2"/>
      <c r="AGP8" s="2"/>
      <c r="AGQ8" s="2"/>
      <c r="AGR8" s="2"/>
      <c r="AGS8" s="2"/>
      <c r="AGT8" s="2"/>
      <c r="AGU8" s="2"/>
      <c r="AGV8" s="2"/>
      <c r="AGW8" s="2"/>
      <c r="AGX8" s="2"/>
      <c r="AGY8" s="2"/>
      <c r="AGZ8" s="2"/>
      <c r="AHA8" s="2"/>
      <c r="AHB8" s="2"/>
      <c r="AHC8" s="2"/>
      <c r="AHD8" s="2"/>
      <c r="AHE8" s="2"/>
      <c r="AHF8" s="2"/>
      <c r="AHG8" s="2"/>
      <c r="AHH8" s="2"/>
      <c r="AHI8" s="2"/>
      <c r="AHJ8" s="2"/>
      <c r="AHK8" s="2"/>
      <c r="AHL8" s="2"/>
      <c r="AHM8" s="2"/>
      <c r="AHN8" s="2"/>
      <c r="AHO8" s="2"/>
      <c r="AHP8" s="2"/>
      <c r="AHQ8" s="2"/>
      <c r="AHR8" s="2"/>
      <c r="AHS8" s="2"/>
      <c r="AHT8" s="2"/>
      <c r="AHU8" s="2"/>
      <c r="AHV8" s="2"/>
      <c r="AHW8" s="2"/>
      <c r="AHX8" s="2"/>
      <c r="AHY8" s="2"/>
      <c r="AHZ8" s="2"/>
      <c r="AIA8" s="2"/>
      <c r="AIB8" s="2"/>
      <c r="AIC8" s="2"/>
      <c r="AID8" s="2"/>
      <c r="AIE8" s="2"/>
      <c r="AIF8" s="2"/>
      <c r="AIG8" s="2"/>
      <c r="AIH8" s="2"/>
      <c r="AII8" s="2"/>
      <c r="AIJ8" s="2"/>
      <c r="AIK8" s="2"/>
      <c r="AIL8" s="2"/>
      <c r="AIM8" s="2"/>
      <c r="AIN8" s="2"/>
      <c r="AIO8" s="2"/>
      <c r="AIP8" s="2"/>
      <c r="AIQ8" s="2"/>
      <c r="AIR8" s="2"/>
      <c r="AIS8" s="2"/>
      <c r="AIT8" s="2"/>
      <c r="AIU8" s="2"/>
      <c r="AIV8" s="2"/>
      <c r="AIW8" s="2"/>
      <c r="AIX8" s="2"/>
      <c r="AIY8" s="2"/>
      <c r="AIZ8" s="2"/>
      <c r="AJA8" s="2"/>
      <c r="AJB8" s="2"/>
      <c r="AJC8" s="2"/>
      <c r="AJD8" s="2"/>
      <c r="AJE8" s="2"/>
      <c r="AJF8" s="2"/>
      <c r="AJG8" s="2"/>
      <c r="AJH8" s="2"/>
      <c r="AJI8" s="2"/>
      <c r="AJJ8" s="2"/>
      <c r="AJK8" s="2"/>
      <c r="AJL8" s="2"/>
      <c r="AJM8" s="2"/>
      <c r="AJN8" s="2"/>
      <c r="AJO8" s="2"/>
      <c r="AJP8" s="2"/>
      <c r="AJQ8" s="2"/>
      <c r="AJR8" s="2"/>
      <c r="AJS8" s="2"/>
      <c r="AJT8" s="2"/>
      <c r="AJU8" s="2"/>
      <c r="AJV8" s="2"/>
      <c r="AJW8" s="2"/>
      <c r="AJX8" s="2"/>
      <c r="AJY8" s="2"/>
      <c r="AJZ8" s="2"/>
      <c r="AKA8" s="2"/>
    </row>
    <row r="9" spans="1:963">
      <c r="A9" s="7">
        <v>8</v>
      </c>
      <c r="B9" s="2">
        <v>4</v>
      </c>
      <c r="C9" s="21">
        <v>10.32</v>
      </c>
      <c r="D9" s="9">
        <v>7.82</v>
      </c>
      <c r="E9" s="9">
        <v>1.6</v>
      </c>
      <c r="F9" s="9">
        <v>0.42</v>
      </c>
      <c r="G9" s="21">
        <v>370</v>
      </c>
      <c r="H9" s="9">
        <f t="shared" si="3"/>
        <v>4.8875000000000002</v>
      </c>
      <c r="I9" s="9">
        <f t="shared" si="0"/>
        <v>0.26249999999999996</v>
      </c>
      <c r="J9" s="9">
        <f t="shared" si="1"/>
        <v>231.25</v>
      </c>
      <c r="K9" s="9">
        <f t="shared" si="2"/>
        <v>1808.375</v>
      </c>
      <c r="L9" s="21">
        <v>17</v>
      </c>
      <c r="M9" s="21" t="s">
        <v>27</v>
      </c>
      <c r="N9" s="21">
        <v>3.06</v>
      </c>
      <c r="O9" s="9">
        <v>10.32</v>
      </c>
      <c r="P9" s="9">
        <v>7.82</v>
      </c>
      <c r="Q9" s="9">
        <v>1.6</v>
      </c>
      <c r="R9" s="9">
        <v>0.42</v>
      </c>
      <c r="S9" s="9">
        <v>0.48</v>
      </c>
      <c r="T9" s="9">
        <v>0.01</v>
      </c>
      <c r="U9" s="9">
        <v>0</v>
      </c>
      <c r="V9" s="22">
        <v>7.05</v>
      </c>
      <c r="W9" s="22">
        <v>97</v>
      </c>
      <c r="X9" s="22">
        <v>0.32</v>
      </c>
      <c r="Y9" s="22">
        <v>370</v>
      </c>
      <c r="Z9" s="22"/>
      <c r="AA9" s="22"/>
      <c r="AB9" s="22">
        <v>152.9</v>
      </c>
      <c r="AC9" s="22">
        <v>3.87</v>
      </c>
      <c r="AD9" s="22">
        <v>122.4</v>
      </c>
      <c r="AE9" s="22">
        <v>2.62</v>
      </c>
      <c r="AF9" s="22">
        <v>2.85</v>
      </c>
      <c r="AG9" s="22">
        <v>42.5</v>
      </c>
      <c r="AH9" s="22">
        <v>735.9</v>
      </c>
      <c r="AI9" s="22">
        <v>13.4</v>
      </c>
      <c r="AJ9" s="22">
        <v>42.5</v>
      </c>
      <c r="AK9" s="22">
        <v>69.7</v>
      </c>
      <c r="AL9" s="22">
        <v>29.5</v>
      </c>
      <c r="AM9" s="27">
        <v>1.016</v>
      </c>
      <c r="AN9" s="27">
        <v>1.3460000000000001</v>
      </c>
      <c r="AO9" s="6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  <c r="JC9" s="2"/>
      <c r="JD9" s="2"/>
      <c r="JE9" s="2"/>
      <c r="JF9" s="2"/>
      <c r="JG9" s="2"/>
      <c r="JH9" s="2"/>
      <c r="JI9" s="2"/>
      <c r="JJ9" s="2"/>
      <c r="JK9" s="2"/>
      <c r="JL9" s="2"/>
      <c r="JM9" s="2"/>
      <c r="JN9" s="2"/>
      <c r="JO9" s="2"/>
      <c r="JP9" s="2"/>
      <c r="JQ9" s="2"/>
      <c r="JR9" s="2"/>
      <c r="JS9" s="2"/>
      <c r="JT9" s="2"/>
      <c r="JU9" s="2"/>
      <c r="JV9" s="2"/>
      <c r="JW9" s="2"/>
      <c r="JX9" s="2"/>
      <c r="JY9" s="2"/>
      <c r="JZ9" s="2"/>
      <c r="KA9" s="2"/>
      <c r="KB9" s="2"/>
      <c r="KC9" s="2"/>
      <c r="KD9" s="2"/>
      <c r="KE9" s="2"/>
      <c r="KF9" s="2"/>
      <c r="KG9" s="2"/>
      <c r="KH9" s="2"/>
      <c r="KI9" s="2"/>
      <c r="KJ9" s="2"/>
      <c r="KK9" s="2"/>
      <c r="KL9" s="2"/>
      <c r="KM9" s="2"/>
      <c r="KN9" s="2"/>
      <c r="KO9" s="2"/>
      <c r="KP9" s="2"/>
      <c r="KQ9" s="2"/>
      <c r="KR9" s="2"/>
      <c r="KS9" s="2"/>
      <c r="KT9" s="2"/>
      <c r="KU9" s="2"/>
      <c r="KV9" s="2"/>
      <c r="KW9" s="2"/>
      <c r="KX9" s="2"/>
      <c r="KY9" s="2"/>
      <c r="KZ9" s="2"/>
      <c r="LA9" s="2"/>
      <c r="LB9" s="2"/>
      <c r="LC9" s="2"/>
      <c r="LD9" s="2"/>
      <c r="LE9" s="2"/>
      <c r="LF9" s="2"/>
      <c r="LG9" s="2"/>
      <c r="LH9" s="2"/>
      <c r="LI9" s="2"/>
      <c r="LJ9" s="2"/>
      <c r="LK9" s="2"/>
      <c r="LL9" s="2"/>
      <c r="LM9" s="2"/>
      <c r="LN9" s="2"/>
      <c r="LO9" s="2"/>
      <c r="LP9" s="2"/>
      <c r="LQ9" s="2"/>
      <c r="LR9" s="2"/>
      <c r="LS9" s="2"/>
      <c r="LT9" s="2"/>
      <c r="LU9" s="2"/>
      <c r="LV9" s="2"/>
      <c r="LW9" s="2"/>
      <c r="LX9" s="2"/>
      <c r="LY9" s="2"/>
      <c r="LZ9" s="2"/>
      <c r="MA9" s="2"/>
      <c r="MB9" s="2"/>
      <c r="MC9" s="2"/>
      <c r="MD9" s="2"/>
      <c r="ME9" s="2"/>
      <c r="MF9" s="2"/>
      <c r="MG9" s="2"/>
      <c r="MH9" s="2"/>
      <c r="MI9" s="2"/>
      <c r="MJ9" s="2"/>
      <c r="MK9" s="2"/>
      <c r="ML9" s="2"/>
      <c r="MM9" s="2"/>
      <c r="MN9" s="2"/>
      <c r="MO9" s="2"/>
      <c r="MP9" s="2"/>
      <c r="MQ9" s="2"/>
      <c r="MR9" s="2"/>
      <c r="MS9" s="2"/>
      <c r="MT9" s="2"/>
      <c r="MU9" s="2"/>
      <c r="MV9" s="2"/>
      <c r="MW9" s="2"/>
      <c r="MX9" s="2"/>
      <c r="MY9" s="2"/>
      <c r="MZ9" s="2"/>
      <c r="NA9" s="2"/>
      <c r="NB9" s="2"/>
      <c r="NC9" s="2"/>
      <c r="ND9" s="2"/>
      <c r="NE9" s="2"/>
      <c r="NF9" s="2"/>
      <c r="NG9" s="2"/>
      <c r="NH9" s="2"/>
      <c r="NI9" s="2"/>
      <c r="NJ9" s="2"/>
      <c r="NK9" s="2"/>
      <c r="NL9" s="2"/>
      <c r="NM9" s="2"/>
      <c r="NN9" s="2"/>
      <c r="NO9" s="2"/>
      <c r="NP9" s="2"/>
      <c r="NQ9" s="2"/>
      <c r="NR9" s="2"/>
      <c r="NS9" s="2"/>
      <c r="NT9" s="2"/>
      <c r="NU9" s="2"/>
      <c r="NV9" s="2"/>
      <c r="NW9" s="2"/>
      <c r="NX9" s="2"/>
      <c r="NY9" s="2"/>
      <c r="NZ9" s="2"/>
      <c r="OA9" s="2"/>
      <c r="OB9" s="2"/>
      <c r="OC9" s="2"/>
      <c r="OD9" s="2"/>
      <c r="OE9" s="2"/>
      <c r="OF9" s="2"/>
      <c r="OG9" s="2"/>
      <c r="OH9" s="2"/>
      <c r="OI9" s="2"/>
      <c r="OJ9" s="2"/>
      <c r="OK9" s="2"/>
      <c r="OL9" s="2"/>
      <c r="OM9" s="2"/>
      <c r="ON9" s="2"/>
      <c r="OO9" s="2"/>
      <c r="OP9" s="2"/>
      <c r="OQ9" s="2"/>
      <c r="OR9" s="2"/>
      <c r="OS9" s="2"/>
      <c r="OT9" s="2"/>
      <c r="OU9" s="2"/>
      <c r="OV9" s="2"/>
      <c r="OW9" s="2"/>
      <c r="OX9" s="2"/>
      <c r="OY9" s="2"/>
      <c r="OZ9" s="2"/>
      <c r="PA9" s="2"/>
      <c r="PB9" s="2"/>
      <c r="PC9" s="2"/>
      <c r="PD9" s="2"/>
      <c r="PE9" s="2"/>
      <c r="PF9" s="2"/>
      <c r="PG9" s="2"/>
      <c r="PH9" s="2"/>
      <c r="PI9" s="2"/>
      <c r="PJ9" s="2"/>
      <c r="PK9" s="2"/>
      <c r="PL9" s="2"/>
      <c r="PM9" s="2"/>
      <c r="PN9" s="2"/>
      <c r="PO9" s="2"/>
      <c r="PP9" s="2"/>
      <c r="PQ9" s="2"/>
      <c r="PR9" s="2"/>
      <c r="PS9" s="2"/>
      <c r="PT9" s="2"/>
      <c r="PU9" s="2"/>
      <c r="PV9" s="2"/>
      <c r="PW9" s="2"/>
      <c r="PX9" s="2"/>
      <c r="PY9" s="2"/>
      <c r="PZ9" s="2"/>
      <c r="QA9" s="2"/>
      <c r="QB9" s="2"/>
      <c r="QC9" s="2"/>
      <c r="QD9" s="2"/>
      <c r="QE9" s="2"/>
      <c r="QF9" s="2"/>
      <c r="QG9" s="2"/>
      <c r="QH9" s="2"/>
      <c r="QI9" s="2"/>
      <c r="QJ9" s="2"/>
      <c r="QK9" s="2"/>
      <c r="QL9" s="2"/>
      <c r="QM9" s="2"/>
      <c r="QN9" s="2"/>
      <c r="QO9" s="2"/>
      <c r="QP9" s="2"/>
      <c r="QQ9" s="2"/>
      <c r="QR9" s="2"/>
      <c r="QS9" s="2"/>
      <c r="QT9" s="2"/>
      <c r="QU9" s="2"/>
      <c r="QV9" s="2"/>
      <c r="QW9" s="2"/>
      <c r="QX9" s="2"/>
      <c r="QY9" s="2"/>
      <c r="QZ9" s="2"/>
      <c r="RA9" s="2"/>
      <c r="RB9" s="2"/>
      <c r="RC9" s="2"/>
      <c r="RD9" s="2"/>
      <c r="RE9" s="2"/>
      <c r="RF9" s="2"/>
      <c r="RG9" s="2"/>
      <c r="RH9" s="2"/>
      <c r="RI9" s="2"/>
      <c r="RJ9" s="2"/>
      <c r="RK9" s="2"/>
      <c r="RL9" s="2"/>
      <c r="RM9" s="2"/>
      <c r="RN9" s="2"/>
      <c r="RO9" s="2"/>
      <c r="RP9" s="2"/>
      <c r="RQ9" s="2"/>
      <c r="RR9" s="2"/>
      <c r="RS9" s="2"/>
      <c r="RT9" s="2"/>
      <c r="RU9" s="2"/>
      <c r="RV9" s="2"/>
      <c r="RW9" s="2"/>
      <c r="RX9" s="2"/>
      <c r="RY9" s="2"/>
      <c r="RZ9" s="2"/>
      <c r="SA9" s="2"/>
      <c r="SB9" s="2"/>
      <c r="SC9" s="2"/>
      <c r="SD9" s="2"/>
      <c r="SE9" s="2"/>
      <c r="SF9" s="2"/>
      <c r="SG9" s="2"/>
      <c r="SH9" s="2"/>
      <c r="SI9" s="2"/>
      <c r="SJ9" s="2"/>
      <c r="SK9" s="2"/>
      <c r="SL9" s="2"/>
      <c r="SM9" s="2"/>
      <c r="SN9" s="2"/>
      <c r="SO9" s="2"/>
      <c r="SP9" s="2"/>
      <c r="SQ9" s="2"/>
      <c r="SR9" s="2"/>
      <c r="SS9" s="2"/>
      <c r="ST9" s="2"/>
      <c r="SU9" s="2"/>
      <c r="SV9" s="2"/>
      <c r="SW9" s="2"/>
      <c r="SX9" s="2"/>
      <c r="SY9" s="2"/>
      <c r="SZ9" s="2"/>
      <c r="TA9" s="2"/>
      <c r="TB9" s="2"/>
      <c r="TC9" s="2"/>
      <c r="TD9" s="2"/>
      <c r="TE9" s="2"/>
      <c r="TF9" s="2"/>
      <c r="TG9" s="2"/>
      <c r="TH9" s="2"/>
      <c r="TI9" s="2"/>
      <c r="TJ9" s="2"/>
      <c r="TK9" s="2"/>
      <c r="TL9" s="2"/>
      <c r="TM9" s="2"/>
      <c r="TN9" s="2"/>
      <c r="TO9" s="2"/>
      <c r="TP9" s="2"/>
      <c r="TQ9" s="2"/>
      <c r="TR9" s="2"/>
      <c r="TS9" s="2"/>
      <c r="TT9" s="2"/>
      <c r="TU9" s="2"/>
      <c r="TV9" s="2"/>
      <c r="TW9" s="2"/>
      <c r="TX9" s="2"/>
      <c r="TY9" s="2"/>
      <c r="TZ9" s="2"/>
      <c r="UA9" s="2"/>
      <c r="UB9" s="2"/>
      <c r="UC9" s="2"/>
      <c r="UD9" s="2"/>
      <c r="UE9" s="2"/>
      <c r="UF9" s="2"/>
      <c r="UG9" s="2"/>
      <c r="UH9" s="2"/>
      <c r="UI9" s="2"/>
      <c r="UJ9" s="2"/>
      <c r="UK9" s="2"/>
      <c r="UL9" s="2"/>
      <c r="UM9" s="2"/>
      <c r="UN9" s="2"/>
      <c r="UO9" s="2"/>
      <c r="UP9" s="2"/>
      <c r="UQ9" s="2"/>
      <c r="UR9" s="2"/>
      <c r="US9" s="2"/>
      <c r="UT9" s="2"/>
      <c r="UU9" s="2"/>
      <c r="UV9" s="2"/>
      <c r="UW9" s="2"/>
      <c r="UX9" s="2"/>
      <c r="UY9" s="2"/>
      <c r="UZ9" s="2"/>
      <c r="VA9" s="2"/>
      <c r="VB9" s="2"/>
      <c r="VC9" s="2"/>
      <c r="VD9" s="2"/>
      <c r="VE9" s="2"/>
      <c r="VF9" s="2"/>
      <c r="VG9" s="2"/>
      <c r="VH9" s="2"/>
      <c r="VI9" s="2"/>
      <c r="VJ9" s="2"/>
      <c r="VK9" s="2"/>
      <c r="VL9" s="2"/>
      <c r="VM9" s="2"/>
      <c r="VN9" s="2"/>
      <c r="VO9" s="2"/>
      <c r="VP9" s="2"/>
      <c r="VQ9" s="2"/>
      <c r="VR9" s="2"/>
      <c r="VS9" s="2"/>
      <c r="VT9" s="2"/>
      <c r="VU9" s="2"/>
      <c r="VV9" s="2"/>
      <c r="VW9" s="2"/>
      <c r="VX9" s="2"/>
      <c r="VY9" s="2"/>
      <c r="VZ9" s="2"/>
      <c r="WA9" s="2"/>
      <c r="WB9" s="2"/>
      <c r="WC9" s="2"/>
      <c r="WD9" s="2"/>
      <c r="WE9" s="2"/>
      <c r="WF9" s="2"/>
      <c r="WG9" s="2"/>
      <c r="WH9" s="2"/>
      <c r="WI9" s="2"/>
      <c r="WJ9" s="2"/>
      <c r="WK9" s="2"/>
      <c r="WL9" s="2"/>
      <c r="WM9" s="2"/>
      <c r="WN9" s="2"/>
      <c r="WO9" s="2"/>
      <c r="WP9" s="2"/>
      <c r="WQ9" s="2"/>
      <c r="WR9" s="2"/>
      <c r="WS9" s="2"/>
      <c r="WT9" s="2"/>
      <c r="WU9" s="2"/>
      <c r="WV9" s="2"/>
      <c r="WW9" s="2"/>
      <c r="WX9" s="2"/>
      <c r="WY9" s="2"/>
      <c r="WZ9" s="2"/>
      <c r="XA9" s="2"/>
      <c r="XB9" s="2"/>
      <c r="XC9" s="2"/>
      <c r="XD9" s="2"/>
      <c r="XE9" s="2"/>
      <c r="XF9" s="2"/>
      <c r="XG9" s="2"/>
      <c r="XH9" s="2"/>
      <c r="XI9" s="2"/>
      <c r="XJ9" s="2"/>
      <c r="XK9" s="2"/>
      <c r="XL9" s="2"/>
      <c r="XM9" s="2"/>
      <c r="XN9" s="2"/>
      <c r="XO9" s="2"/>
      <c r="XP9" s="2"/>
      <c r="XQ9" s="2"/>
      <c r="XR9" s="2"/>
      <c r="XS9" s="2"/>
      <c r="XT9" s="2"/>
      <c r="XU9" s="2"/>
      <c r="XV9" s="2"/>
      <c r="XW9" s="2"/>
      <c r="XX9" s="2"/>
      <c r="XY9" s="2"/>
      <c r="XZ9" s="2"/>
      <c r="YA9" s="2"/>
      <c r="YB9" s="2"/>
      <c r="YC9" s="2"/>
      <c r="YD9" s="2"/>
      <c r="YE9" s="2"/>
      <c r="YF9" s="2"/>
      <c r="YG9" s="2"/>
      <c r="YH9" s="2"/>
      <c r="YI9" s="2"/>
      <c r="YJ9" s="2"/>
      <c r="YK9" s="2"/>
      <c r="YL9" s="2"/>
      <c r="YM9" s="2"/>
      <c r="YN9" s="2"/>
      <c r="YO9" s="2"/>
      <c r="YP9" s="2"/>
      <c r="YQ9" s="2"/>
      <c r="YR9" s="2"/>
      <c r="YS9" s="2"/>
      <c r="YT9" s="2"/>
      <c r="YU9" s="2"/>
      <c r="YV9" s="2"/>
      <c r="YW9" s="2"/>
      <c r="YX9" s="2"/>
      <c r="YY9" s="2"/>
      <c r="YZ9" s="2"/>
      <c r="ZA9" s="2"/>
      <c r="ZB9" s="2"/>
      <c r="ZC9" s="2"/>
      <c r="ZD9" s="2"/>
      <c r="ZE9" s="2"/>
      <c r="ZF9" s="2"/>
      <c r="ZG9" s="2"/>
      <c r="ZH9" s="2"/>
      <c r="ZI9" s="2"/>
      <c r="ZJ9" s="2"/>
      <c r="ZK9" s="2"/>
      <c r="ZL9" s="2"/>
      <c r="ZM9" s="2"/>
      <c r="ZN9" s="2"/>
      <c r="ZO9" s="2"/>
      <c r="ZP9" s="2"/>
      <c r="ZQ9" s="2"/>
      <c r="ZR9" s="2"/>
      <c r="ZS9" s="2"/>
      <c r="ZT9" s="2"/>
      <c r="ZU9" s="2"/>
      <c r="ZV9" s="2"/>
      <c r="ZW9" s="2"/>
      <c r="ZX9" s="2"/>
      <c r="ZY9" s="2"/>
      <c r="ZZ9" s="2"/>
      <c r="AAA9" s="2"/>
      <c r="AAB9" s="2"/>
      <c r="AAC9" s="2"/>
      <c r="AAD9" s="2"/>
      <c r="AAE9" s="2"/>
      <c r="AAF9" s="2"/>
      <c r="AAG9" s="2"/>
      <c r="AAH9" s="2"/>
      <c r="AAI9" s="2"/>
      <c r="AAJ9" s="2"/>
      <c r="AAK9" s="2"/>
      <c r="AAL9" s="2"/>
      <c r="AAM9" s="2"/>
      <c r="AAN9" s="2"/>
      <c r="AAO9" s="2"/>
      <c r="AAP9" s="2"/>
      <c r="AAQ9" s="2"/>
      <c r="AAR9" s="2"/>
      <c r="AAS9" s="2"/>
      <c r="AAT9" s="2"/>
      <c r="AAU9" s="2"/>
      <c r="AAV9" s="2"/>
      <c r="AAW9" s="2"/>
      <c r="AAX9" s="2"/>
      <c r="AAY9" s="2"/>
      <c r="AAZ9" s="2"/>
      <c r="ABA9" s="2"/>
      <c r="ABB9" s="2"/>
      <c r="ABC9" s="2"/>
      <c r="ABD9" s="2"/>
      <c r="ABE9" s="2"/>
      <c r="ABF9" s="2"/>
      <c r="ABG9" s="2"/>
      <c r="ABH9" s="2"/>
      <c r="ABI9" s="2"/>
      <c r="ABJ9" s="2"/>
      <c r="ABK9" s="2"/>
      <c r="ABL9" s="2"/>
      <c r="ABM9" s="2"/>
      <c r="ABN9" s="2"/>
      <c r="ABO9" s="2"/>
      <c r="ABP9" s="2"/>
      <c r="ABQ9" s="2"/>
      <c r="ABR9" s="2"/>
      <c r="ABS9" s="2"/>
      <c r="ABT9" s="2"/>
      <c r="ABU9" s="2"/>
      <c r="ABV9" s="2"/>
      <c r="ABW9" s="2"/>
      <c r="ABX9" s="2"/>
      <c r="ABY9" s="2"/>
      <c r="ABZ9" s="2"/>
      <c r="ACA9" s="2"/>
      <c r="ACB9" s="2"/>
      <c r="ACC9" s="2"/>
      <c r="ACD9" s="2"/>
      <c r="ACE9" s="2"/>
      <c r="ACF9" s="2"/>
      <c r="ACG9" s="2"/>
      <c r="ACH9" s="2"/>
      <c r="ACI9" s="2"/>
      <c r="ACJ9" s="2"/>
      <c r="ACK9" s="2"/>
      <c r="ACL9" s="2"/>
      <c r="ACM9" s="2"/>
      <c r="ACN9" s="2"/>
      <c r="ACO9" s="2"/>
      <c r="ACP9" s="2"/>
      <c r="ACQ9" s="2"/>
      <c r="ACR9" s="2"/>
      <c r="ACS9" s="2"/>
      <c r="ACT9" s="2"/>
      <c r="ACU9" s="2"/>
      <c r="ACV9" s="2"/>
      <c r="ACW9" s="2"/>
      <c r="ACX9" s="2"/>
      <c r="ACY9" s="2"/>
      <c r="ACZ9" s="2"/>
      <c r="ADA9" s="2"/>
      <c r="ADB9" s="2"/>
      <c r="ADC9" s="2"/>
      <c r="ADD9" s="2"/>
      <c r="ADE9" s="2"/>
      <c r="ADF9" s="2"/>
      <c r="ADG9" s="2"/>
      <c r="ADH9" s="2"/>
      <c r="ADI9" s="2"/>
      <c r="ADJ9" s="2"/>
      <c r="ADK9" s="2"/>
      <c r="ADL9" s="2"/>
      <c r="ADM9" s="2"/>
      <c r="ADN9" s="2"/>
      <c r="ADO9" s="2"/>
      <c r="ADP9" s="2"/>
      <c r="ADQ9" s="2"/>
      <c r="ADR9" s="2"/>
      <c r="ADS9" s="2"/>
      <c r="ADT9" s="2"/>
      <c r="ADU9" s="2"/>
      <c r="ADV9" s="2"/>
      <c r="ADW9" s="2"/>
      <c r="ADX9" s="2"/>
      <c r="ADY9" s="2"/>
      <c r="ADZ9" s="2"/>
      <c r="AEA9" s="2"/>
      <c r="AEB9" s="2"/>
      <c r="AEC9" s="2"/>
      <c r="AED9" s="2"/>
      <c r="AEE9" s="2"/>
      <c r="AEF9" s="2"/>
      <c r="AEG9" s="2"/>
      <c r="AEH9" s="2"/>
      <c r="AEI9" s="2"/>
      <c r="AEJ9" s="2"/>
      <c r="AEK9" s="2"/>
      <c r="AEL9" s="2"/>
      <c r="AEM9" s="2"/>
      <c r="AEN9" s="2"/>
      <c r="AEO9" s="2"/>
      <c r="AEP9" s="2"/>
      <c r="AEQ9" s="2"/>
      <c r="AER9" s="2"/>
      <c r="AES9" s="2"/>
      <c r="AET9" s="2"/>
      <c r="AEU9" s="2"/>
      <c r="AEV9" s="2"/>
      <c r="AEW9" s="2"/>
      <c r="AEX9" s="2"/>
      <c r="AEY9" s="2"/>
      <c r="AEZ9" s="2"/>
      <c r="AFA9" s="2"/>
      <c r="AFB9" s="2"/>
      <c r="AFC9" s="2"/>
      <c r="AFD9" s="2"/>
      <c r="AFE9" s="2"/>
      <c r="AFF9" s="2"/>
      <c r="AFG9" s="2"/>
      <c r="AFH9" s="2"/>
      <c r="AFI9" s="2"/>
      <c r="AFJ9" s="2"/>
      <c r="AFK9" s="2"/>
      <c r="AFL9" s="2"/>
      <c r="AFM9" s="2"/>
      <c r="AFN9" s="2"/>
      <c r="AFO9" s="2"/>
      <c r="AFP9" s="2"/>
      <c r="AFQ9" s="2"/>
      <c r="AFR9" s="2"/>
      <c r="AFS9" s="2"/>
      <c r="AFT9" s="2"/>
      <c r="AFU9" s="2"/>
      <c r="AFV9" s="2"/>
      <c r="AFW9" s="2"/>
      <c r="AFX9" s="2"/>
      <c r="AFY9" s="2"/>
      <c r="AFZ9" s="2"/>
      <c r="AGA9" s="2"/>
      <c r="AGB9" s="2"/>
      <c r="AGC9" s="2"/>
      <c r="AGD9" s="2"/>
      <c r="AGE9" s="2"/>
      <c r="AGF9" s="2"/>
      <c r="AGG9" s="2"/>
      <c r="AGH9" s="2"/>
      <c r="AGI9" s="2"/>
      <c r="AGJ9" s="2"/>
      <c r="AGK9" s="2"/>
      <c r="AGL9" s="2"/>
      <c r="AGM9" s="2"/>
      <c r="AGN9" s="2"/>
      <c r="AGO9" s="2"/>
      <c r="AGP9" s="2"/>
      <c r="AGQ9" s="2"/>
      <c r="AGR9" s="2"/>
      <c r="AGS9" s="2"/>
      <c r="AGT9" s="2"/>
      <c r="AGU9" s="2"/>
      <c r="AGV9" s="2"/>
      <c r="AGW9" s="2"/>
      <c r="AGX9" s="2"/>
      <c r="AGY9" s="2"/>
      <c r="AGZ9" s="2"/>
      <c r="AHA9" s="2"/>
      <c r="AHB9" s="2"/>
      <c r="AHC9" s="2"/>
      <c r="AHD9" s="2"/>
      <c r="AHE9" s="2"/>
      <c r="AHF9" s="2"/>
      <c r="AHG9" s="2"/>
      <c r="AHH9" s="2"/>
      <c r="AHI9" s="2"/>
      <c r="AHJ9" s="2"/>
      <c r="AHK9" s="2"/>
      <c r="AHL9" s="2"/>
      <c r="AHM9" s="2"/>
      <c r="AHN9" s="2"/>
      <c r="AHO9" s="2"/>
      <c r="AHP9" s="2"/>
      <c r="AHQ9" s="2"/>
      <c r="AHR9" s="2"/>
      <c r="AHS9" s="2"/>
      <c r="AHT9" s="2"/>
      <c r="AHU9" s="2"/>
      <c r="AHV9" s="2"/>
      <c r="AHW9" s="2"/>
      <c r="AHX9" s="2"/>
      <c r="AHY9" s="2"/>
      <c r="AHZ9" s="2"/>
      <c r="AIA9" s="2"/>
      <c r="AIB9" s="2"/>
      <c r="AIC9" s="2"/>
      <c r="AID9" s="2"/>
      <c r="AIE9" s="2"/>
      <c r="AIF9" s="2"/>
      <c r="AIG9" s="2"/>
      <c r="AIH9" s="2"/>
      <c r="AII9" s="2"/>
      <c r="AIJ9" s="2"/>
      <c r="AIK9" s="2"/>
      <c r="AIL9" s="2"/>
      <c r="AIM9" s="2"/>
      <c r="AIN9" s="2"/>
      <c r="AIO9" s="2"/>
      <c r="AIP9" s="2"/>
      <c r="AIQ9" s="2"/>
      <c r="AIR9" s="2"/>
      <c r="AIS9" s="2"/>
      <c r="AIT9" s="2"/>
      <c r="AIU9" s="2"/>
      <c r="AIV9" s="2"/>
      <c r="AIW9" s="2"/>
      <c r="AIX9" s="2"/>
      <c r="AIY9" s="2"/>
      <c r="AIZ9" s="2"/>
      <c r="AJA9" s="2"/>
      <c r="AJB9" s="2"/>
      <c r="AJC9" s="2"/>
      <c r="AJD9" s="2"/>
      <c r="AJE9" s="2"/>
      <c r="AJF9" s="2"/>
      <c r="AJG9" s="2"/>
      <c r="AJH9" s="2"/>
      <c r="AJI9" s="2"/>
      <c r="AJJ9" s="2"/>
      <c r="AJK9" s="2"/>
      <c r="AJL9" s="2"/>
      <c r="AJM9" s="2"/>
      <c r="AJN9" s="2"/>
      <c r="AJO9" s="2"/>
      <c r="AJP9" s="2"/>
      <c r="AJQ9" s="2"/>
      <c r="AJR9" s="2"/>
      <c r="AJS9" s="2"/>
      <c r="AJT9" s="2"/>
      <c r="AJU9" s="2"/>
      <c r="AJV9" s="2"/>
      <c r="AJW9" s="2"/>
      <c r="AJX9" s="2"/>
      <c r="AJY9" s="2"/>
      <c r="AJZ9" s="2"/>
      <c r="AKA9" s="2"/>
    </row>
    <row r="10" spans="1:963">
      <c r="A10" s="7">
        <v>9</v>
      </c>
      <c r="B10" s="2">
        <v>4</v>
      </c>
      <c r="C10" s="7">
        <v>12.64</v>
      </c>
      <c r="D10" s="7">
        <v>11.36</v>
      </c>
      <c r="E10" s="7">
        <v>0.99</v>
      </c>
      <c r="F10" s="7">
        <v>0.23</v>
      </c>
      <c r="G10" s="7">
        <v>135</v>
      </c>
      <c r="H10" s="9">
        <f t="shared" si="3"/>
        <v>11.474747474747474</v>
      </c>
      <c r="I10" s="9">
        <f t="shared" si="0"/>
        <v>0.23232323232323235</v>
      </c>
      <c r="J10" s="9">
        <f t="shared" si="1"/>
        <v>136.36363636363637</v>
      </c>
      <c r="K10" s="9">
        <f t="shared" si="2"/>
        <v>1549.090909090909</v>
      </c>
      <c r="L10" s="7">
        <v>13</v>
      </c>
      <c r="M10" s="7" t="s">
        <v>28</v>
      </c>
      <c r="N10" s="7">
        <v>2.12</v>
      </c>
      <c r="O10" s="9">
        <v>12.64</v>
      </c>
      <c r="P10" s="9">
        <v>11.36</v>
      </c>
      <c r="Q10" s="9">
        <v>0.99</v>
      </c>
      <c r="R10" s="9">
        <v>0.23</v>
      </c>
      <c r="S10" s="9">
        <v>0.06</v>
      </c>
      <c r="T10" s="9">
        <v>0</v>
      </c>
      <c r="U10" s="9">
        <v>0</v>
      </c>
      <c r="V10" s="9">
        <v>5.91</v>
      </c>
      <c r="W10" s="9">
        <v>95</v>
      </c>
      <c r="X10" s="9">
        <v>0.28999999999999998</v>
      </c>
      <c r="Y10" s="9">
        <v>135</v>
      </c>
      <c r="Z10" s="9">
        <v>0.3</v>
      </c>
      <c r="AA10" s="9">
        <v>0.15</v>
      </c>
      <c r="AB10" s="9">
        <v>146.5</v>
      </c>
      <c r="AC10" s="9">
        <v>4.79</v>
      </c>
      <c r="AD10" s="9">
        <v>114.1</v>
      </c>
      <c r="AE10" s="9">
        <v>2.31</v>
      </c>
      <c r="AF10" s="9">
        <v>4.3099999999999996</v>
      </c>
      <c r="AG10" s="9">
        <v>56.4</v>
      </c>
      <c r="AH10" s="9">
        <v>633.29999999999995</v>
      </c>
      <c r="AI10" s="9">
        <v>15.2</v>
      </c>
      <c r="AJ10" s="9">
        <v>145.5</v>
      </c>
      <c r="AK10" s="9">
        <v>90.2</v>
      </c>
      <c r="AL10" s="9">
        <v>33.950000000000003</v>
      </c>
      <c r="AM10" s="24">
        <v>1.014</v>
      </c>
      <c r="AN10" s="24">
        <v>3.33</v>
      </c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  <c r="JC10" s="2"/>
      <c r="JD10" s="2"/>
      <c r="JE10" s="2"/>
      <c r="JF10" s="2"/>
      <c r="JG10" s="2"/>
      <c r="JH10" s="2"/>
      <c r="JI10" s="2"/>
      <c r="JJ10" s="2"/>
      <c r="JK10" s="2"/>
      <c r="JL10" s="2"/>
      <c r="JM10" s="2"/>
      <c r="JN10" s="2"/>
      <c r="JO10" s="2"/>
      <c r="JP10" s="2"/>
      <c r="JQ10" s="2"/>
      <c r="JR10" s="2"/>
      <c r="JS10" s="2"/>
      <c r="JT10" s="2"/>
      <c r="JU10" s="2"/>
      <c r="JV10" s="2"/>
      <c r="JW10" s="2"/>
      <c r="JX10" s="2"/>
      <c r="JY10" s="2"/>
      <c r="JZ10" s="2"/>
      <c r="KA10" s="2"/>
      <c r="KB10" s="2"/>
      <c r="KC10" s="2"/>
      <c r="KD10" s="2"/>
      <c r="KE10" s="2"/>
      <c r="KF10" s="2"/>
      <c r="KG10" s="2"/>
      <c r="KH10" s="2"/>
      <c r="KI10" s="2"/>
      <c r="KJ10" s="2"/>
      <c r="KK10" s="2"/>
      <c r="KL10" s="2"/>
      <c r="KM10" s="2"/>
      <c r="KN10" s="2"/>
      <c r="KO10" s="2"/>
      <c r="KP10" s="2"/>
      <c r="KQ10" s="2"/>
      <c r="KR10" s="2"/>
      <c r="KS10" s="2"/>
      <c r="KT10" s="2"/>
      <c r="KU10" s="2"/>
      <c r="KV10" s="2"/>
      <c r="KW10" s="2"/>
      <c r="KX10" s="2"/>
      <c r="KY10" s="2"/>
      <c r="KZ10" s="2"/>
      <c r="LA10" s="2"/>
      <c r="LB10" s="2"/>
      <c r="LC10" s="2"/>
      <c r="LD10" s="2"/>
      <c r="LE10" s="2"/>
      <c r="LF10" s="2"/>
      <c r="LG10" s="2"/>
      <c r="LH10" s="2"/>
      <c r="LI10" s="2"/>
      <c r="LJ10" s="2"/>
      <c r="LK10" s="2"/>
      <c r="LL10" s="2"/>
      <c r="LM10" s="2"/>
      <c r="LN10" s="2"/>
      <c r="LO10" s="2"/>
      <c r="LP10" s="2"/>
      <c r="LQ10" s="2"/>
      <c r="LR10" s="2"/>
      <c r="LS10" s="2"/>
      <c r="LT10" s="2"/>
      <c r="LU10" s="2"/>
      <c r="LV10" s="2"/>
      <c r="LW10" s="2"/>
      <c r="LX10" s="2"/>
      <c r="LY10" s="2"/>
      <c r="LZ10" s="2"/>
      <c r="MA10" s="2"/>
      <c r="MB10" s="2"/>
      <c r="MC10" s="2"/>
      <c r="MD10" s="2"/>
      <c r="ME10" s="2"/>
      <c r="MF10" s="2"/>
      <c r="MG10" s="2"/>
      <c r="MH10" s="2"/>
      <c r="MI10" s="2"/>
      <c r="MJ10" s="2"/>
      <c r="MK10" s="2"/>
      <c r="ML10" s="2"/>
      <c r="MM10" s="2"/>
      <c r="MN10" s="2"/>
      <c r="MO10" s="2"/>
      <c r="MP10" s="2"/>
      <c r="MQ10" s="2"/>
      <c r="MR10" s="2"/>
      <c r="MS10" s="2"/>
      <c r="MT10" s="2"/>
      <c r="MU10" s="2"/>
      <c r="MV10" s="2"/>
      <c r="MW10" s="2"/>
      <c r="MX10" s="2"/>
      <c r="MY10" s="2"/>
      <c r="MZ10" s="2"/>
      <c r="NA10" s="2"/>
      <c r="NB10" s="2"/>
      <c r="NC10" s="2"/>
      <c r="ND10" s="2"/>
      <c r="NE10" s="2"/>
      <c r="NF10" s="2"/>
      <c r="NG10" s="2"/>
      <c r="NH10" s="2"/>
      <c r="NI10" s="2"/>
      <c r="NJ10" s="2"/>
      <c r="NK10" s="2"/>
      <c r="NL10" s="2"/>
      <c r="NM10" s="2"/>
      <c r="NN10" s="2"/>
      <c r="NO10" s="2"/>
      <c r="NP10" s="2"/>
      <c r="NQ10" s="2"/>
      <c r="NR10" s="2"/>
      <c r="NS10" s="2"/>
      <c r="NT10" s="2"/>
      <c r="NU10" s="2"/>
      <c r="NV10" s="2"/>
      <c r="NW10" s="2"/>
      <c r="NX10" s="2"/>
      <c r="NY10" s="2"/>
      <c r="NZ10" s="2"/>
      <c r="OA10" s="2"/>
      <c r="OB10" s="2"/>
      <c r="OC10" s="2"/>
      <c r="OD10" s="2"/>
      <c r="OE10" s="2"/>
      <c r="OF10" s="2"/>
      <c r="OG10" s="2"/>
      <c r="OH10" s="2"/>
      <c r="OI10" s="2"/>
      <c r="OJ10" s="2"/>
      <c r="OK10" s="2"/>
      <c r="OL10" s="2"/>
      <c r="OM10" s="2"/>
      <c r="ON10" s="2"/>
      <c r="OO10" s="2"/>
      <c r="OP10" s="2"/>
      <c r="OQ10" s="2"/>
      <c r="OR10" s="2"/>
      <c r="OS10" s="2"/>
      <c r="OT10" s="2"/>
      <c r="OU10" s="2"/>
      <c r="OV10" s="2"/>
      <c r="OW10" s="2"/>
      <c r="OX10" s="2"/>
      <c r="OY10" s="2"/>
      <c r="OZ10" s="2"/>
      <c r="PA10" s="2"/>
      <c r="PB10" s="2"/>
      <c r="PC10" s="2"/>
      <c r="PD10" s="2"/>
      <c r="PE10" s="2"/>
      <c r="PF10" s="2"/>
      <c r="PG10" s="2"/>
      <c r="PH10" s="2"/>
      <c r="PI10" s="2"/>
      <c r="PJ10" s="2"/>
      <c r="PK10" s="2"/>
      <c r="PL10" s="2"/>
      <c r="PM10" s="2"/>
      <c r="PN10" s="2"/>
      <c r="PO10" s="2"/>
      <c r="PP10" s="2"/>
      <c r="PQ10" s="2"/>
      <c r="PR10" s="2"/>
      <c r="PS10" s="2"/>
      <c r="PT10" s="2"/>
      <c r="PU10" s="2"/>
      <c r="PV10" s="2"/>
      <c r="PW10" s="2"/>
      <c r="PX10" s="2"/>
      <c r="PY10" s="2"/>
      <c r="PZ10" s="2"/>
      <c r="QA10" s="2"/>
      <c r="QB10" s="2"/>
      <c r="QC10" s="2"/>
      <c r="QD10" s="2"/>
      <c r="QE10" s="2"/>
      <c r="QF10" s="2"/>
      <c r="QG10" s="2"/>
      <c r="QH10" s="2"/>
      <c r="QI10" s="2"/>
      <c r="QJ10" s="2"/>
      <c r="QK10" s="2"/>
      <c r="QL10" s="2"/>
      <c r="QM10" s="2"/>
      <c r="QN10" s="2"/>
      <c r="QO10" s="2"/>
      <c r="QP10" s="2"/>
      <c r="QQ10" s="2"/>
      <c r="QR10" s="2"/>
      <c r="QS10" s="2"/>
      <c r="QT10" s="2"/>
      <c r="QU10" s="2"/>
      <c r="QV10" s="2"/>
      <c r="QW10" s="2"/>
      <c r="QX10" s="2"/>
      <c r="QY10" s="2"/>
      <c r="QZ10" s="2"/>
      <c r="RA10" s="2"/>
      <c r="RB10" s="2"/>
      <c r="RC10" s="2"/>
      <c r="RD10" s="2"/>
      <c r="RE10" s="2"/>
      <c r="RF10" s="2"/>
      <c r="RG10" s="2"/>
      <c r="RH10" s="2"/>
      <c r="RI10" s="2"/>
      <c r="RJ10" s="2"/>
      <c r="RK10" s="2"/>
      <c r="RL10" s="2"/>
      <c r="RM10" s="2"/>
      <c r="RN10" s="2"/>
      <c r="RO10" s="2"/>
      <c r="RP10" s="2"/>
      <c r="RQ10" s="2"/>
      <c r="RR10" s="2"/>
      <c r="RS10" s="2"/>
      <c r="RT10" s="2"/>
      <c r="RU10" s="2"/>
      <c r="RV10" s="2"/>
      <c r="RW10" s="2"/>
      <c r="RX10" s="2"/>
      <c r="RY10" s="2"/>
      <c r="RZ10" s="2"/>
      <c r="SA10" s="2"/>
      <c r="SB10" s="2"/>
      <c r="SC10" s="2"/>
      <c r="SD10" s="2"/>
      <c r="SE10" s="2"/>
      <c r="SF10" s="2"/>
      <c r="SG10" s="2"/>
      <c r="SH10" s="2"/>
      <c r="SI10" s="2"/>
      <c r="SJ10" s="2"/>
      <c r="SK10" s="2"/>
      <c r="SL10" s="2"/>
      <c r="SM10" s="2"/>
      <c r="SN10" s="2"/>
      <c r="SO10" s="2"/>
      <c r="SP10" s="2"/>
      <c r="SQ10" s="2"/>
      <c r="SR10" s="2"/>
      <c r="SS10" s="2"/>
      <c r="ST10" s="2"/>
      <c r="SU10" s="2"/>
      <c r="SV10" s="2"/>
      <c r="SW10" s="2"/>
      <c r="SX10" s="2"/>
      <c r="SY10" s="2"/>
      <c r="SZ10" s="2"/>
      <c r="TA10" s="2"/>
      <c r="TB10" s="2"/>
      <c r="TC10" s="2"/>
      <c r="TD10" s="2"/>
      <c r="TE10" s="2"/>
      <c r="TF10" s="2"/>
      <c r="TG10" s="2"/>
      <c r="TH10" s="2"/>
      <c r="TI10" s="2"/>
      <c r="TJ10" s="2"/>
      <c r="TK10" s="2"/>
      <c r="TL10" s="2"/>
      <c r="TM10" s="2"/>
      <c r="TN10" s="2"/>
      <c r="TO10" s="2"/>
      <c r="TP10" s="2"/>
      <c r="TQ10" s="2"/>
      <c r="TR10" s="2"/>
      <c r="TS10" s="2"/>
      <c r="TT10" s="2"/>
      <c r="TU10" s="2"/>
      <c r="TV10" s="2"/>
      <c r="TW10" s="2"/>
      <c r="TX10" s="2"/>
      <c r="TY10" s="2"/>
      <c r="TZ10" s="2"/>
      <c r="UA10" s="2"/>
      <c r="UB10" s="2"/>
      <c r="UC10" s="2"/>
      <c r="UD10" s="2"/>
      <c r="UE10" s="2"/>
      <c r="UF10" s="2"/>
      <c r="UG10" s="2"/>
      <c r="UH10" s="2"/>
      <c r="UI10" s="2"/>
      <c r="UJ10" s="2"/>
      <c r="UK10" s="2"/>
      <c r="UL10" s="2"/>
      <c r="UM10" s="2"/>
      <c r="UN10" s="2"/>
      <c r="UO10" s="2"/>
      <c r="UP10" s="2"/>
      <c r="UQ10" s="2"/>
      <c r="UR10" s="2"/>
      <c r="US10" s="2"/>
      <c r="UT10" s="2"/>
      <c r="UU10" s="2"/>
      <c r="UV10" s="2"/>
      <c r="UW10" s="2"/>
      <c r="UX10" s="2"/>
      <c r="UY10" s="2"/>
      <c r="UZ10" s="2"/>
      <c r="VA10" s="2"/>
      <c r="VB10" s="2"/>
      <c r="VC10" s="2"/>
      <c r="VD10" s="2"/>
      <c r="VE10" s="2"/>
      <c r="VF10" s="2"/>
      <c r="VG10" s="2"/>
      <c r="VH10" s="2"/>
      <c r="VI10" s="2"/>
      <c r="VJ10" s="2"/>
      <c r="VK10" s="2"/>
      <c r="VL10" s="2"/>
      <c r="VM10" s="2"/>
      <c r="VN10" s="2"/>
      <c r="VO10" s="2"/>
      <c r="VP10" s="2"/>
      <c r="VQ10" s="2"/>
      <c r="VR10" s="2"/>
      <c r="VS10" s="2"/>
      <c r="VT10" s="2"/>
      <c r="VU10" s="2"/>
      <c r="VV10" s="2"/>
      <c r="VW10" s="2"/>
      <c r="VX10" s="2"/>
      <c r="VY10" s="2"/>
      <c r="VZ10" s="2"/>
      <c r="WA10" s="2"/>
      <c r="WB10" s="2"/>
      <c r="WC10" s="2"/>
      <c r="WD10" s="2"/>
      <c r="WE10" s="2"/>
      <c r="WF10" s="2"/>
      <c r="WG10" s="2"/>
      <c r="WH10" s="2"/>
      <c r="WI10" s="2"/>
      <c r="WJ10" s="2"/>
      <c r="WK10" s="2"/>
      <c r="WL10" s="2"/>
      <c r="WM10" s="2"/>
      <c r="WN10" s="2"/>
      <c r="WO10" s="2"/>
      <c r="WP10" s="2"/>
      <c r="WQ10" s="2"/>
      <c r="WR10" s="2"/>
      <c r="WS10" s="2"/>
      <c r="WT10" s="2"/>
      <c r="WU10" s="2"/>
      <c r="WV10" s="2"/>
      <c r="WW10" s="2"/>
      <c r="WX10" s="2"/>
      <c r="WY10" s="2"/>
      <c r="WZ10" s="2"/>
      <c r="XA10" s="2"/>
      <c r="XB10" s="2"/>
      <c r="XC10" s="2"/>
      <c r="XD10" s="2"/>
      <c r="XE10" s="2"/>
      <c r="XF10" s="2"/>
      <c r="XG10" s="2"/>
      <c r="XH10" s="2"/>
      <c r="XI10" s="2"/>
      <c r="XJ10" s="2"/>
      <c r="XK10" s="2"/>
      <c r="XL10" s="2"/>
      <c r="XM10" s="2"/>
      <c r="XN10" s="2"/>
      <c r="XO10" s="2"/>
      <c r="XP10" s="2"/>
      <c r="XQ10" s="2"/>
      <c r="XR10" s="2"/>
      <c r="XS10" s="2"/>
      <c r="XT10" s="2"/>
      <c r="XU10" s="2"/>
      <c r="XV10" s="2"/>
      <c r="XW10" s="2"/>
      <c r="XX10" s="2"/>
      <c r="XY10" s="2"/>
      <c r="XZ10" s="2"/>
      <c r="YA10" s="2"/>
      <c r="YB10" s="2"/>
      <c r="YC10" s="2"/>
      <c r="YD10" s="2"/>
      <c r="YE10" s="2"/>
      <c r="YF10" s="2"/>
      <c r="YG10" s="2"/>
      <c r="YH10" s="2"/>
      <c r="YI10" s="2"/>
      <c r="YJ10" s="2"/>
      <c r="YK10" s="2"/>
      <c r="YL10" s="2"/>
      <c r="YM10" s="2"/>
      <c r="YN10" s="2"/>
      <c r="YO10" s="2"/>
      <c r="YP10" s="2"/>
      <c r="YQ10" s="2"/>
      <c r="YR10" s="2"/>
      <c r="YS10" s="2"/>
      <c r="YT10" s="2"/>
      <c r="YU10" s="2"/>
      <c r="YV10" s="2"/>
      <c r="YW10" s="2"/>
      <c r="YX10" s="2"/>
      <c r="YY10" s="2"/>
      <c r="YZ10" s="2"/>
      <c r="ZA10" s="2"/>
      <c r="ZB10" s="2"/>
      <c r="ZC10" s="2"/>
      <c r="ZD10" s="2"/>
      <c r="ZE10" s="2"/>
      <c r="ZF10" s="2"/>
      <c r="ZG10" s="2"/>
      <c r="ZH10" s="2"/>
      <c r="ZI10" s="2"/>
      <c r="ZJ10" s="2"/>
      <c r="ZK10" s="2"/>
      <c r="ZL10" s="2"/>
      <c r="ZM10" s="2"/>
      <c r="ZN10" s="2"/>
      <c r="ZO10" s="2"/>
      <c r="ZP10" s="2"/>
      <c r="ZQ10" s="2"/>
      <c r="ZR10" s="2"/>
      <c r="ZS10" s="2"/>
      <c r="ZT10" s="2"/>
      <c r="ZU10" s="2"/>
      <c r="ZV10" s="2"/>
      <c r="ZW10" s="2"/>
      <c r="ZX10" s="2"/>
      <c r="ZY10" s="2"/>
      <c r="ZZ10" s="2"/>
      <c r="AAA10" s="2"/>
      <c r="AAB10" s="2"/>
      <c r="AAC10" s="2"/>
      <c r="AAD10" s="2"/>
      <c r="AAE10" s="2"/>
      <c r="AAF10" s="2"/>
      <c r="AAG10" s="2"/>
      <c r="AAH10" s="2"/>
      <c r="AAI10" s="2"/>
      <c r="AAJ10" s="2"/>
      <c r="AAK10" s="2"/>
      <c r="AAL10" s="2"/>
      <c r="AAM10" s="2"/>
      <c r="AAN10" s="2"/>
      <c r="AAO10" s="2"/>
      <c r="AAP10" s="2"/>
      <c r="AAQ10" s="2"/>
      <c r="AAR10" s="2"/>
      <c r="AAS10" s="2"/>
      <c r="AAT10" s="2"/>
      <c r="AAU10" s="2"/>
      <c r="AAV10" s="2"/>
      <c r="AAW10" s="2"/>
      <c r="AAX10" s="2"/>
      <c r="AAY10" s="2"/>
      <c r="AAZ10" s="2"/>
      <c r="ABA10" s="2"/>
      <c r="ABB10" s="2"/>
      <c r="ABC10" s="2"/>
      <c r="ABD10" s="2"/>
      <c r="ABE10" s="2"/>
      <c r="ABF10" s="2"/>
      <c r="ABG10" s="2"/>
      <c r="ABH10" s="2"/>
      <c r="ABI10" s="2"/>
      <c r="ABJ10" s="2"/>
      <c r="ABK10" s="2"/>
      <c r="ABL10" s="2"/>
      <c r="ABM10" s="2"/>
      <c r="ABN10" s="2"/>
      <c r="ABO10" s="2"/>
      <c r="ABP10" s="2"/>
      <c r="ABQ10" s="2"/>
      <c r="ABR10" s="2"/>
      <c r="ABS10" s="2"/>
      <c r="ABT10" s="2"/>
      <c r="ABU10" s="2"/>
      <c r="ABV10" s="2"/>
      <c r="ABW10" s="2"/>
      <c r="ABX10" s="2"/>
      <c r="ABY10" s="2"/>
      <c r="ABZ10" s="2"/>
      <c r="ACA10" s="2"/>
      <c r="ACB10" s="2"/>
      <c r="ACC10" s="2"/>
      <c r="ACD10" s="2"/>
      <c r="ACE10" s="2"/>
      <c r="ACF10" s="2"/>
      <c r="ACG10" s="2"/>
      <c r="ACH10" s="2"/>
      <c r="ACI10" s="2"/>
      <c r="ACJ10" s="2"/>
      <c r="ACK10" s="2"/>
      <c r="ACL10" s="2"/>
      <c r="ACM10" s="2"/>
      <c r="ACN10" s="2"/>
      <c r="ACO10" s="2"/>
      <c r="ACP10" s="2"/>
      <c r="ACQ10" s="2"/>
      <c r="ACR10" s="2"/>
      <c r="ACS10" s="2"/>
      <c r="ACT10" s="2"/>
      <c r="ACU10" s="2"/>
      <c r="ACV10" s="2"/>
      <c r="ACW10" s="2"/>
      <c r="ACX10" s="2"/>
      <c r="ACY10" s="2"/>
      <c r="ACZ10" s="2"/>
      <c r="ADA10" s="2"/>
      <c r="ADB10" s="2"/>
      <c r="ADC10" s="2"/>
      <c r="ADD10" s="2"/>
      <c r="ADE10" s="2"/>
      <c r="ADF10" s="2"/>
      <c r="ADG10" s="2"/>
      <c r="ADH10" s="2"/>
      <c r="ADI10" s="2"/>
      <c r="ADJ10" s="2"/>
      <c r="ADK10" s="2"/>
      <c r="ADL10" s="2"/>
      <c r="ADM10" s="2"/>
      <c r="ADN10" s="2"/>
      <c r="ADO10" s="2"/>
      <c r="ADP10" s="2"/>
      <c r="ADQ10" s="2"/>
      <c r="ADR10" s="2"/>
      <c r="ADS10" s="2"/>
      <c r="ADT10" s="2"/>
      <c r="ADU10" s="2"/>
      <c r="ADV10" s="2"/>
      <c r="ADW10" s="2"/>
      <c r="ADX10" s="2"/>
      <c r="ADY10" s="2"/>
      <c r="ADZ10" s="2"/>
      <c r="AEA10" s="2"/>
      <c r="AEB10" s="2"/>
      <c r="AEC10" s="2"/>
      <c r="AED10" s="2"/>
      <c r="AEE10" s="2"/>
      <c r="AEF10" s="2"/>
      <c r="AEG10" s="2"/>
      <c r="AEH10" s="2"/>
      <c r="AEI10" s="2"/>
      <c r="AEJ10" s="2"/>
      <c r="AEK10" s="2"/>
      <c r="AEL10" s="2"/>
      <c r="AEM10" s="2"/>
      <c r="AEN10" s="2"/>
      <c r="AEO10" s="2"/>
      <c r="AEP10" s="2"/>
      <c r="AEQ10" s="2"/>
      <c r="AER10" s="2"/>
      <c r="AES10" s="2"/>
      <c r="AET10" s="2"/>
      <c r="AEU10" s="2"/>
      <c r="AEV10" s="2"/>
      <c r="AEW10" s="2"/>
      <c r="AEX10" s="2"/>
      <c r="AEY10" s="2"/>
      <c r="AEZ10" s="2"/>
      <c r="AFA10" s="2"/>
      <c r="AFB10" s="2"/>
      <c r="AFC10" s="2"/>
      <c r="AFD10" s="2"/>
      <c r="AFE10" s="2"/>
      <c r="AFF10" s="2"/>
      <c r="AFG10" s="2"/>
      <c r="AFH10" s="2"/>
      <c r="AFI10" s="2"/>
      <c r="AFJ10" s="2"/>
      <c r="AFK10" s="2"/>
      <c r="AFL10" s="2"/>
      <c r="AFM10" s="2"/>
      <c r="AFN10" s="2"/>
      <c r="AFO10" s="2"/>
      <c r="AFP10" s="2"/>
      <c r="AFQ10" s="2"/>
      <c r="AFR10" s="2"/>
      <c r="AFS10" s="2"/>
      <c r="AFT10" s="2"/>
      <c r="AFU10" s="2"/>
      <c r="AFV10" s="2"/>
      <c r="AFW10" s="2"/>
      <c r="AFX10" s="2"/>
      <c r="AFY10" s="2"/>
      <c r="AFZ10" s="2"/>
      <c r="AGA10" s="2"/>
      <c r="AGB10" s="2"/>
      <c r="AGC10" s="2"/>
      <c r="AGD10" s="2"/>
      <c r="AGE10" s="2"/>
      <c r="AGF10" s="2"/>
      <c r="AGG10" s="2"/>
      <c r="AGH10" s="2"/>
      <c r="AGI10" s="2"/>
      <c r="AGJ10" s="2"/>
      <c r="AGK10" s="2"/>
      <c r="AGL10" s="2"/>
      <c r="AGM10" s="2"/>
      <c r="AGN10" s="2"/>
      <c r="AGO10" s="2"/>
      <c r="AGP10" s="2"/>
      <c r="AGQ10" s="2"/>
      <c r="AGR10" s="2"/>
      <c r="AGS10" s="2"/>
      <c r="AGT10" s="2"/>
      <c r="AGU10" s="2"/>
      <c r="AGV10" s="2"/>
      <c r="AGW10" s="2"/>
      <c r="AGX10" s="2"/>
      <c r="AGY10" s="2"/>
      <c r="AGZ10" s="2"/>
      <c r="AHA10" s="2"/>
      <c r="AHB10" s="2"/>
      <c r="AHC10" s="2"/>
      <c r="AHD10" s="2"/>
      <c r="AHE10" s="2"/>
      <c r="AHF10" s="2"/>
      <c r="AHG10" s="2"/>
      <c r="AHH10" s="2"/>
      <c r="AHI10" s="2"/>
      <c r="AHJ10" s="2"/>
      <c r="AHK10" s="2"/>
      <c r="AHL10" s="2"/>
      <c r="AHM10" s="2"/>
      <c r="AHN10" s="2"/>
      <c r="AHO10" s="2"/>
      <c r="AHP10" s="2"/>
      <c r="AHQ10" s="2"/>
      <c r="AHR10" s="2"/>
      <c r="AHS10" s="2"/>
      <c r="AHT10" s="2"/>
      <c r="AHU10" s="2"/>
      <c r="AHV10" s="2"/>
      <c r="AHW10" s="2"/>
      <c r="AHX10" s="2"/>
      <c r="AHY10" s="2"/>
      <c r="AHZ10" s="2"/>
      <c r="AIA10" s="2"/>
      <c r="AIB10" s="2"/>
      <c r="AIC10" s="2"/>
      <c r="AID10" s="2"/>
      <c r="AIE10" s="2"/>
      <c r="AIF10" s="2"/>
      <c r="AIG10" s="2"/>
      <c r="AIH10" s="2"/>
      <c r="AII10" s="2"/>
      <c r="AIJ10" s="2"/>
      <c r="AIK10" s="2"/>
      <c r="AIL10" s="2"/>
      <c r="AIM10" s="2"/>
      <c r="AIN10" s="2"/>
      <c r="AIO10" s="2"/>
      <c r="AIP10" s="2"/>
      <c r="AIQ10" s="2"/>
      <c r="AIR10" s="2"/>
      <c r="AIS10" s="2"/>
      <c r="AIT10" s="2"/>
      <c r="AIU10" s="2"/>
      <c r="AIV10" s="2"/>
      <c r="AIW10" s="2"/>
      <c r="AIX10" s="2"/>
      <c r="AIY10" s="2"/>
      <c r="AIZ10" s="2"/>
      <c r="AJA10" s="2"/>
      <c r="AJB10" s="2"/>
      <c r="AJC10" s="2"/>
      <c r="AJD10" s="2"/>
      <c r="AJE10" s="2"/>
      <c r="AJF10" s="2"/>
      <c r="AJG10" s="2"/>
      <c r="AJH10" s="2"/>
      <c r="AJI10" s="2"/>
      <c r="AJJ10" s="2"/>
      <c r="AJK10" s="2"/>
      <c r="AJL10" s="2"/>
      <c r="AJM10" s="2"/>
      <c r="AJN10" s="2"/>
      <c r="AJO10" s="2"/>
      <c r="AJP10" s="2"/>
      <c r="AJQ10" s="2"/>
      <c r="AJR10" s="2"/>
      <c r="AJS10" s="2"/>
      <c r="AJT10" s="2"/>
      <c r="AJU10" s="2"/>
      <c r="AJV10" s="2"/>
      <c r="AJW10" s="2"/>
      <c r="AJX10" s="2"/>
      <c r="AJY10" s="2"/>
      <c r="AJZ10" s="2"/>
      <c r="AKA10" s="2"/>
    </row>
    <row r="11" spans="1:963">
      <c r="A11" s="16">
        <v>10</v>
      </c>
      <c r="B11" s="2">
        <v>4</v>
      </c>
      <c r="C11" s="9">
        <v>6.63</v>
      </c>
      <c r="D11" s="9">
        <v>4.78</v>
      </c>
      <c r="E11" s="9">
        <v>1.43</v>
      </c>
      <c r="F11" s="9">
        <v>0.11</v>
      </c>
      <c r="G11" s="9">
        <v>294</v>
      </c>
      <c r="H11" s="9">
        <f t="shared" si="3"/>
        <v>3.3426573426573429</v>
      </c>
      <c r="I11" s="9">
        <f t="shared" si="0"/>
        <v>7.6923076923076927E-2</v>
      </c>
      <c r="J11" s="9">
        <f t="shared" si="1"/>
        <v>205.5944055944056</v>
      </c>
      <c r="K11" s="9">
        <f t="shared" si="2"/>
        <v>982.74125874125889</v>
      </c>
      <c r="L11" s="8">
        <v>16</v>
      </c>
      <c r="M11" s="9" t="s">
        <v>26</v>
      </c>
      <c r="N11" s="9">
        <v>3.2</v>
      </c>
      <c r="O11" s="9">
        <v>6.63</v>
      </c>
      <c r="P11" s="9">
        <v>4.78</v>
      </c>
      <c r="Q11" s="9">
        <v>1.43</v>
      </c>
      <c r="R11" s="9">
        <v>0.11</v>
      </c>
      <c r="S11" s="9">
        <v>0.3</v>
      </c>
      <c r="T11" s="9">
        <v>0</v>
      </c>
      <c r="U11" s="9">
        <v>0.01</v>
      </c>
      <c r="V11" s="9">
        <v>5.85</v>
      </c>
      <c r="W11" s="9">
        <v>90</v>
      </c>
      <c r="X11" s="9">
        <v>0.28000000000000003</v>
      </c>
      <c r="Y11" s="9">
        <v>294</v>
      </c>
      <c r="Z11" s="9">
        <v>0.4</v>
      </c>
      <c r="AA11" s="9">
        <v>2.3E-2</v>
      </c>
      <c r="AB11" s="9">
        <v>152.6</v>
      </c>
      <c r="AC11" s="9">
        <v>3.72</v>
      </c>
      <c r="AD11" s="9">
        <v>115.4</v>
      </c>
      <c r="AE11" s="9">
        <v>2.93</v>
      </c>
      <c r="AF11" s="9">
        <v>3.1</v>
      </c>
      <c r="AG11" s="9">
        <v>45.4</v>
      </c>
      <c r="AH11" s="9">
        <v>554.1</v>
      </c>
      <c r="AI11" s="9">
        <v>6.8</v>
      </c>
      <c r="AJ11" s="9">
        <v>67.400000000000006</v>
      </c>
      <c r="AK11" s="9">
        <v>84.27</v>
      </c>
      <c r="AL11" s="9">
        <v>31.55</v>
      </c>
      <c r="AM11" s="24">
        <v>1.02</v>
      </c>
      <c r="AN11" s="24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  <c r="JC11" s="2"/>
      <c r="JD11" s="2"/>
      <c r="JE11" s="2"/>
      <c r="JF11" s="2"/>
      <c r="JG11" s="2"/>
      <c r="JH11" s="2"/>
      <c r="JI11" s="2"/>
      <c r="JJ11" s="2"/>
      <c r="JK11" s="2"/>
      <c r="JL11" s="2"/>
      <c r="JM11" s="2"/>
      <c r="JN11" s="2"/>
      <c r="JO11" s="2"/>
      <c r="JP11" s="2"/>
      <c r="JQ11" s="2"/>
      <c r="JR11" s="2"/>
      <c r="JS11" s="2"/>
      <c r="JT11" s="2"/>
      <c r="JU11" s="2"/>
      <c r="JV11" s="2"/>
      <c r="JW11" s="2"/>
      <c r="JX11" s="2"/>
      <c r="JY11" s="2"/>
      <c r="JZ11" s="2"/>
      <c r="KA11" s="2"/>
      <c r="KB11" s="2"/>
      <c r="KC11" s="2"/>
      <c r="KD11" s="2"/>
      <c r="KE11" s="2"/>
      <c r="KF11" s="2"/>
      <c r="KG11" s="2"/>
      <c r="KH11" s="2"/>
      <c r="KI11" s="2"/>
      <c r="KJ11" s="2"/>
      <c r="KK11" s="2"/>
      <c r="KL11" s="2"/>
      <c r="KM11" s="2"/>
      <c r="KN11" s="2"/>
      <c r="KO11" s="2"/>
      <c r="KP11" s="2"/>
      <c r="KQ11" s="2"/>
      <c r="KR11" s="2"/>
      <c r="KS11" s="2"/>
      <c r="KT11" s="2"/>
      <c r="KU11" s="2"/>
      <c r="KV11" s="2"/>
      <c r="KW11" s="2"/>
      <c r="KX11" s="2"/>
      <c r="KY11" s="2"/>
      <c r="KZ11" s="2"/>
      <c r="LA11" s="2"/>
      <c r="LB11" s="2"/>
      <c r="LC11" s="2"/>
      <c r="LD11" s="2"/>
      <c r="LE11" s="2"/>
      <c r="LF11" s="2"/>
      <c r="LG11" s="2"/>
      <c r="LH11" s="2"/>
      <c r="LI11" s="2"/>
      <c r="LJ11" s="2"/>
      <c r="LK11" s="2"/>
      <c r="LL11" s="2"/>
      <c r="LM11" s="2"/>
      <c r="LN11" s="2"/>
      <c r="LO11" s="2"/>
      <c r="LP11" s="2"/>
      <c r="LQ11" s="2"/>
      <c r="LR11" s="2"/>
      <c r="LS11" s="2"/>
      <c r="LT11" s="2"/>
      <c r="LU11" s="2"/>
      <c r="LV11" s="2"/>
      <c r="LW11" s="2"/>
      <c r="LX11" s="2"/>
      <c r="LY11" s="2"/>
      <c r="LZ11" s="2"/>
      <c r="MA11" s="2"/>
      <c r="MB11" s="2"/>
      <c r="MC11" s="2"/>
      <c r="MD11" s="2"/>
      <c r="ME11" s="2"/>
      <c r="MF11" s="2"/>
      <c r="MG11" s="2"/>
      <c r="MH11" s="2"/>
      <c r="MI11" s="2"/>
      <c r="MJ11" s="2"/>
      <c r="MK11" s="2"/>
      <c r="ML11" s="2"/>
      <c r="MM11" s="2"/>
      <c r="MN11" s="2"/>
      <c r="MO11" s="2"/>
      <c r="MP11" s="2"/>
      <c r="MQ11" s="2"/>
      <c r="MR11" s="2"/>
      <c r="MS11" s="2"/>
      <c r="MT11" s="2"/>
      <c r="MU11" s="2"/>
      <c r="MV11" s="2"/>
      <c r="MW11" s="2"/>
      <c r="MX11" s="2"/>
      <c r="MY11" s="2"/>
      <c r="MZ11" s="2"/>
      <c r="NA11" s="2"/>
      <c r="NB11" s="2"/>
      <c r="NC11" s="2"/>
      <c r="ND11" s="2"/>
      <c r="NE11" s="2"/>
      <c r="NF11" s="2"/>
      <c r="NG11" s="2"/>
      <c r="NH11" s="2"/>
      <c r="NI11" s="2"/>
      <c r="NJ11" s="2"/>
      <c r="NK11" s="2"/>
      <c r="NL11" s="2"/>
      <c r="NM11" s="2"/>
      <c r="NN11" s="2"/>
      <c r="NO11" s="2"/>
      <c r="NP11" s="2"/>
      <c r="NQ11" s="2"/>
      <c r="NR11" s="2"/>
      <c r="NS11" s="2"/>
      <c r="NT11" s="2"/>
      <c r="NU11" s="2"/>
      <c r="NV11" s="2"/>
      <c r="NW11" s="2"/>
      <c r="NX11" s="2"/>
      <c r="NY11" s="2"/>
      <c r="NZ11" s="2"/>
      <c r="OA11" s="2"/>
      <c r="OB11" s="2"/>
      <c r="OC11" s="2"/>
      <c r="OD11" s="2"/>
      <c r="OE11" s="2"/>
      <c r="OF11" s="2"/>
      <c r="OG11" s="2"/>
      <c r="OH11" s="2"/>
      <c r="OI11" s="2"/>
      <c r="OJ11" s="2"/>
      <c r="OK11" s="2"/>
      <c r="OL11" s="2"/>
      <c r="OM11" s="2"/>
      <c r="ON11" s="2"/>
      <c r="OO11" s="2"/>
      <c r="OP11" s="2"/>
      <c r="OQ11" s="2"/>
      <c r="OR11" s="2"/>
      <c r="OS11" s="2"/>
      <c r="OT11" s="2"/>
      <c r="OU11" s="2"/>
      <c r="OV11" s="2"/>
      <c r="OW11" s="2"/>
      <c r="OX11" s="2"/>
      <c r="OY11" s="2"/>
      <c r="OZ11" s="2"/>
      <c r="PA11" s="2"/>
      <c r="PB11" s="2"/>
      <c r="PC11" s="2"/>
      <c r="PD11" s="2"/>
      <c r="PE11" s="2"/>
      <c r="PF11" s="2"/>
      <c r="PG11" s="2"/>
      <c r="PH11" s="2"/>
      <c r="PI11" s="2"/>
      <c r="PJ11" s="2"/>
      <c r="PK11" s="2"/>
      <c r="PL11" s="2"/>
      <c r="PM11" s="2"/>
      <c r="PN11" s="2"/>
      <c r="PO11" s="2"/>
      <c r="PP11" s="2"/>
      <c r="PQ11" s="2"/>
      <c r="PR11" s="2"/>
      <c r="PS11" s="2"/>
      <c r="PT11" s="2"/>
      <c r="PU11" s="2"/>
      <c r="PV11" s="2"/>
      <c r="PW11" s="2"/>
      <c r="PX11" s="2"/>
      <c r="PY11" s="2"/>
      <c r="PZ11" s="2"/>
      <c r="QA11" s="2"/>
      <c r="QB11" s="2"/>
      <c r="QC11" s="2"/>
      <c r="QD11" s="2"/>
      <c r="QE11" s="2"/>
      <c r="QF11" s="2"/>
      <c r="QG11" s="2"/>
      <c r="QH11" s="2"/>
      <c r="QI11" s="2"/>
      <c r="QJ11" s="2"/>
      <c r="QK11" s="2"/>
      <c r="QL11" s="2"/>
      <c r="QM11" s="2"/>
      <c r="QN11" s="2"/>
      <c r="QO11" s="2"/>
      <c r="QP11" s="2"/>
      <c r="QQ11" s="2"/>
      <c r="QR11" s="2"/>
      <c r="QS11" s="2"/>
      <c r="QT11" s="2"/>
      <c r="QU11" s="2"/>
      <c r="QV11" s="2"/>
      <c r="QW11" s="2"/>
      <c r="QX11" s="2"/>
      <c r="QY11" s="2"/>
      <c r="QZ11" s="2"/>
      <c r="RA11" s="2"/>
      <c r="RB11" s="2"/>
      <c r="RC11" s="2"/>
      <c r="RD11" s="2"/>
      <c r="RE11" s="2"/>
      <c r="RF11" s="2"/>
      <c r="RG11" s="2"/>
      <c r="RH11" s="2"/>
      <c r="RI11" s="2"/>
      <c r="RJ11" s="2"/>
      <c r="RK11" s="2"/>
      <c r="RL11" s="2"/>
      <c r="RM11" s="2"/>
      <c r="RN11" s="2"/>
      <c r="RO11" s="2"/>
      <c r="RP11" s="2"/>
      <c r="RQ11" s="2"/>
      <c r="RR11" s="2"/>
      <c r="RS11" s="2"/>
      <c r="RT11" s="2"/>
      <c r="RU11" s="2"/>
      <c r="RV11" s="2"/>
      <c r="RW11" s="2"/>
      <c r="RX11" s="2"/>
      <c r="RY11" s="2"/>
      <c r="RZ11" s="2"/>
      <c r="SA11" s="2"/>
      <c r="SB11" s="2"/>
      <c r="SC11" s="2"/>
      <c r="SD11" s="2"/>
      <c r="SE11" s="2"/>
      <c r="SF11" s="2"/>
      <c r="SG11" s="2"/>
      <c r="SH11" s="2"/>
      <c r="SI11" s="2"/>
      <c r="SJ11" s="2"/>
      <c r="SK11" s="2"/>
      <c r="SL11" s="2"/>
      <c r="SM11" s="2"/>
      <c r="SN11" s="2"/>
      <c r="SO11" s="2"/>
      <c r="SP11" s="2"/>
      <c r="SQ11" s="2"/>
      <c r="SR11" s="2"/>
      <c r="SS11" s="2"/>
      <c r="ST11" s="2"/>
      <c r="SU11" s="2"/>
      <c r="SV11" s="2"/>
      <c r="SW11" s="2"/>
      <c r="SX11" s="2"/>
      <c r="SY11" s="2"/>
      <c r="SZ11" s="2"/>
      <c r="TA11" s="2"/>
      <c r="TB11" s="2"/>
      <c r="TC11" s="2"/>
      <c r="TD11" s="2"/>
      <c r="TE11" s="2"/>
      <c r="TF11" s="2"/>
      <c r="TG11" s="2"/>
      <c r="TH11" s="2"/>
      <c r="TI11" s="2"/>
      <c r="TJ11" s="2"/>
      <c r="TK11" s="2"/>
      <c r="TL11" s="2"/>
      <c r="TM11" s="2"/>
      <c r="TN11" s="2"/>
      <c r="TO11" s="2"/>
      <c r="TP11" s="2"/>
      <c r="TQ11" s="2"/>
      <c r="TR11" s="2"/>
      <c r="TS11" s="2"/>
      <c r="TT11" s="2"/>
      <c r="TU11" s="2"/>
      <c r="TV11" s="2"/>
      <c r="TW11" s="2"/>
      <c r="TX11" s="2"/>
      <c r="TY11" s="2"/>
      <c r="TZ11" s="2"/>
      <c r="UA11" s="2"/>
      <c r="UB11" s="2"/>
      <c r="UC11" s="2"/>
      <c r="UD11" s="2"/>
      <c r="UE11" s="2"/>
      <c r="UF11" s="2"/>
      <c r="UG11" s="2"/>
      <c r="UH11" s="2"/>
      <c r="UI11" s="2"/>
      <c r="UJ11" s="2"/>
      <c r="UK11" s="2"/>
      <c r="UL11" s="2"/>
      <c r="UM11" s="2"/>
      <c r="UN11" s="2"/>
      <c r="UO11" s="2"/>
      <c r="UP11" s="2"/>
      <c r="UQ11" s="2"/>
      <c r="UR11" s="2"/>
      <c r="US11" s="2"/>
      <c r="UT11" s="2"/>
      <c r="UU11" s="2"/>
      <c r="UV11" s="2"/>
      <c r="UW11" s="2"/>
      <c r="UX11" s="2"/>
      <c r="UY11" s="2"/>
      <c r="UZ11" s="2"/>
      <c r="VA11" s="2"/>
      <c r="VB11" s="2"/>
      <c r="VC11" s="2"/>
      <c r="VD11" s="2"/>
      <c r="VE11" s="2"/>
      <c r="VF11" s="2"/>
      <c r="VG11" s="2"/>
      <c r="VH11" s="2"/>
      <c r="VI11" s="2"/>
      <c r="VJ11" s="2"/>
      <c r="VK11" s="2"/>
      <c r="VL11" s="2"/>
      <c r="VM11" s="2"/>
      <c r="VN11" s="2"/>
      <c r="VO11" s="2"/>
      <c r="VP11" s="2"/>
      <c r="VQ11" s="2"/>
      <c r="VR11" s="2"/>
      <c r="VS11" s="2"/>
      <c r="VT11" s="2"/>
      <c r="VU11" s="2"/>
      <c r="VV11" s="2"/>
      <c r="VW11" s="2"/>
      <c r="VX11" s="2"/>
      <c r="VY11" s="2"/>
      <c r="VZ11" s="2"/>
      <c r="WA11" s="2"/>
      <c r="WB11" s="2"/>
      <c r="WC11" s="2"/>
      <c r="WD11" s="2"/>
      <c r="WE11" s="2"/>
      <c r="WF11" s="2"/>
      <c r="WG11" s="2"/>
      <c r="WH11" s="2"/>
      <c r="WI11" s="2"/>
      <c r="WJ11" s="2"/>
      <c r="WK11" s="2"/>
      <c r="WL11" s="2"/>
      <c r="WM11" s="2"/>
      <c r="WN11" s="2"/>
      <c r="WO11" s="2"/>
      <c r="WP11" s="2"/>
      <c r="WQ11" s="2"/>
      <c r="WR11" s="2"/>
      <c r="WS11" s="2"/>
      <c r="WT11" s="2"/>
      <c r="WU11" s="2"/>
      <c r="WV11" s="2"/>
      <c r="WW11" s="2"/>
      <c r="WX11" s="2"/>
      <c r="WY11" s="2"/>
      <c r="WZ11" s="2"/>
      <c r="XA11" s="2"/>
      <c r="XB11" s="2"/>
      <c r="XC11" s="2"/>
      <c r="XD11" s="2"/>
      <c r="XE11" s="2"/>
      <c r="XF11" s="2"/>
      <c r="XG11" s="2"/>
      <c r="XH11" s="2"/>
      <c r="XI11" s="2"/>
      <c r="XJ11" s="2"/>
      <c r="XK11" s="2"/>
      <c r="XL11" s="2"/>
      <c r="XM11" s="2"/>
      <c r="XN11" s="2"/>
      <c r="XO11" s="2"/>
      <c r="XP11" s="2"/>
      <c r="XQ11" s="2"/>
      <c r="XR11" s="2"/>
      <c r="XS11" s="2"/>
      <c r="XT11" s="2"/>
      <c r="XU11" s="2"/>
      <c r="XV11" s="2"/>
      <c r="XW11" s="2"/>
      <c r="XX11" s="2"/>
      <c r="XY11" s="2"/>
      <c r="XZ11" s="2"/>
      <c r="YA11" s="2"/>
      <c r="YB11" s="2"/>
      <c r="YC11" s="2"/>
      <c r="YD11" s="2"/>
      <c r="YE11" s="2"/>
      <c r="YF11" s="2"/>
      <c r="YG11" s="2"/>
      <c r="YH11" s="2"/>
      <c r="YI11" s="2"/>
      <c r="YJ11" s="2"/>
      <c r="YK11" s="2"/>
      <c r="YL11" s="2"/>
      <c r="YM11" s="2"/>
      <c r="YN11" s="2"/>
      <c r="YO11" s="2"/>
      <c r="YP11" s="2"/>
      <c r="YQ11" s="2"/>
      <c r="YR11" s="2"/>
      <c r="YS11" s="2"/>
      <c r="YT11" s="2"/>
      <c r="YU11" s="2"/>
      <c r="YV11" s="2"/>
      <c r="YW11" s="2"/>
      <c r="YX11" s="2"/>
      <c r="YY11" s="2"/>
      <c r="YZ11" s="2"/>
      <c r="ZA11" s="2"/>
      <c r="ZB11" s="2"/>
      <c r="ZC11" s="2"/>
      <c r="ZD11" s="2"/>
      <c r="ZE11" s="2"/>
      <c r="ZF11" s="2"/>
      <c r="ZG11" s="2"/>
      <c r="ZH11" s="2"/>
      <c r="ZI11" s="2"/>
      <c r="ZJ11" s="2"/>
      <c r="ZK11" s="2"/>
      <c r="ZL11" s="2"/>
      <c r="ZM11" s="2"/>
      <c r="ZN11" s="2"/>
      <c r="ZO11" s="2"/>
      <c r="ZP11" s="2"/>
      <c r="ZQ11" s="2"/>
      <c r="ZR11" s="2"/>
      <c r="ZS11" s="2"/>
      <c r="ZT11" s="2"/>
      <c r="ZU11" s="2"/>
      <c r="ZV11" s="2"/>
      <c r="ZW11" s="2"/>
      <c r="ZX11" s="2"/>
      <c r="ZY11" s="2"/>
      <c r="ZZ11" s="2"/>
      <c r="AAA11" s="2"/>
      <c r="AAB11" s="2"/>
      <c r="AAC11" s="2"/>
      <c r="AAD11" s="2"/>
      <c r="AAE11" s="2"/>
      <c r="AAF11" s="2"/>
      <c r="AAG11" s="2"/>
      <c r="AAH11" s="2"/>
      <c r="AAI11" s="2"/>
      <c r="AAJ11" s="2"/>
      <c r="AAK11" s="2"/>
      <c r="AAL11" s="2"/>
      <c r="AAM11" s="2"/>
      <c r="AAN11" s="2"/>
      <c r="AAO11" s="2"/>
      <c r="AAP11" s="2"/>
      <c r="AAQ11" s="2"/>
      <c r="AAR11" s="2"/>
      <c r="AAS11" s="2"/>
      <c r="AAT11" s="2"/>
      <c r="AAU11" s="2"/>
      <c r="AAV11" s="2"/>
      <c r="AAW11" s="2"/>
      <c r="AAX11" s="2"/>
      <c r="AAY11" s="2"/>
      <c r="AAZ11" s="2"/>
      <c r="ABA11" s="2"/>
      <c r="ABB11" s="2"/>
      <c r="ABC11" s="2"/>
      <c r="ABD11" s="2"/>
      <c r="ABE11" s="2"/>
      <c r="ABF11" s="2"/>
      <c r="ABG11" s="2"/>
      <c r="ABH11" s="2"/>
      <c r="ABI11" s="2"/>
      <c r="ABJ11" s="2"/>
      <c r="ABK11" s="2"/>
      <c r="ABL11" s="2"/>
      <c r="ABM11" s="2"/>
      <c r="ABN11" s="2"/>
      <c r="ABO11" s="2"/>
      <c r="ABP11" s="2"/>
      <c r="ABQ11" s="2"/>
      <c r="ABR11" s="2"/>
      <c r="ABS11" s="2"/>
      <c r="ABT11" s="2"/>
      <c r="ABU11" s="2"/>
      <c r="ABV11" s="2"/>
      <c r="ABW11" s="2"/>
      <c r="ABX11" s="2"/>
      <c r="ABY11" s="2"/>
      <c r="ABZ11" s="2"/>
      <c r="ACA11" s="2"/>
      <c r="ACB11" s="2"/>
      <c r="ACC11" s="2"/>
      <c r="ACD11" s="2"/>
      <c r="ACE11" s="2"/>
      <c r="ACF11" s="2"/>
      <c r="ACG11" s="2"/>
      <c r="ACH11" s="2"/>
      <c r="ACI11" s="2"/>
      <c r="ACJ11" s="2"/>
      <c r="ACK11" s="2"/>
      <c r="ACL11" s="2"/>
      <c r="ACM11" s="2"/>
      <c r="ACN11" s="2"/>
      <c r="ACO11" s="2"/>
      <c r="ACP11" s="2"/>
      <c r="ACQ11" s="2"/>
      <c r="ACR11" s="2"/>
      <c r="ACS11" s="2"/>
      <c r="ACT11" s="2"/>
      <c r="ACU11" s="2"/>
      <c r="ACV11" s="2"/>
      <c r="ACW11" s="2"/>
      <c r="ACX11" s="2"/>
      <c r="ACY11" s="2"/>
      <c r="ACZ11" s="2"/>
      <c r="ADA11" s="2"/>
      <c r="ADB11" s="2"/>
      <c r="ADC11" s="2"/>
      <c r="ADD11" s="2"/>
      <c r="ADE11" s="2"/>
      <c r="ADF11" s="2"/>
      <c r="ADG11" s="2"/>
      <c r="ADH11" s="2"/>
      <c r="ADI11" s="2"/>
      <c r="ADJ11" s="2"/>
      <c r="ADK11" s="2"/>
      <c r="ADL11" s="2"/>
      <c r="ADM11" s="2"/>
      <c r="ADN11" s="2"/>
      <c r="ADO11" s="2"/>
      <c r="ADP11" s="2"/>
      <c r="ADQ11" s="2"/>
      <c r="ADR11" s="2"/>
      <c r="ADS11" s="2"/>
      <c r="ADT11" s="2"/>
      <c r="ADU11" s="2"/>
      <c r="ADV11" s="2"/>
      <c r="ADW11" s="2"/>
      <c r="ADX11" s="2"/>
      <c r="ADY11" s="2"/>
      <c r="ADZ11" s="2"/>
      <c r="AEA11" s="2"/>
      <c r="AEB11" s="2"/>
      <c r="AEC11" s="2"/>
      <c r="AED11" s="2"/>
      <c r="AEE11" s="2"/>
      <c r="AEF11" s="2"/>
      <c r="AEG11" s="2"/>
      <c r="AEH11" s="2"/>
      <c r="AEI11" s="2"/>
      <c r="AEJ11" s="2"/>
      <c r="AEK11" s="2"/>
      <c r="AEL11" s="2"/>
      <c r="AEM11" s="2"/>
      <c r="AEN11" s="2"/>
      <c r="AEO11" s="2"/>
      <c r="AEP11" s="2"/>
      <c r="AEQ11" s="2"/>
      <c r="AER11" s="2"/>
      <c r="AES11" s="2"/>
      <c r="AET11" s="2"/>
      <c r="AEU11" s="2"/>
      <c r="AEV11" s="2"/>
      <c r="AEW11" s="2"/>
      <c r="AEX11" s="2"/>
      <c r="AEY11" s="2"/>
      <c r="AEZ11" s="2"/>
      <c r="AFA11" s="2"/>
      <c r="AFB11" s="2"/>
      <c r="AFC11" s="2"/>
      <c r="AFD11" s="2"/>
      <c r="AFE11" s="2"/>
      <c r="AFF11" s="2"/>
      <c r="AFG11" s="2"/>
      <c r="AFH11" s="2"/>
      <c r="AFI11" s="2"/>
      <c r="AFJ11" s="2"/>
      <c r="AFK11" s="2"/>
      <c r="AFL11" s="2"/>
      <c r="AFM11" s="2"/>
      <c r="AFN11" s="2"/>
      <c r="AFO11" s="2"/>
      <c r="AFP11" s="2"/>
      <c r="AFQ11" s="2"/>
      <c r="AFR11" s="2"/>
      <c r="AFS11" s="2"/>
      <c r="AFT11" s="2"/>
      <c r="AFU11" s="2"/>
      <c r="AFV11" s="2"/>
      <c r="AFW11" s="2"/>
      <c r="AFX11" s="2"/>
      <c r="AFY11" s="2"/>
      <c r="AFZ11" s="2"/>
      <c r="AGA11" s="2"/>
      <c r="AGB11" s="2"/>
      <c r="AGC11" s="2"/>
      <c r="AGD11" s="2"/>
      <c r="AGE11" s="2"/>
      <c r="AGF11" s="2"/>
      <c r="AGG11" s="2"/>
      <c r="AGH11" s="2"/>
      <c r="AGI11" s="2"/>
      <c r="AGJ11" s="2"/>
      <c r="AGK11" s="2"/>
      <c r="AGL11" s="2"/>
      <c r="AGM11" s="2"/>
      <c r="AGN11" s="2"/>
      <c r="AGO11" s="2"/>
      <c r="AGP11" s="2"/>
      <c r="AGQ11" s="2"/>
      <c r="AGR11" s="2"/>
      <c r="AGS11" s="2"/>
      <c r="AGT11" s="2"/>
      <c r="AGU11" s="2"/>
      <c r="AGV11" s="2"/>
      <c r="AGW11" s="2"/>
      <c r="AGX11" s="2"/>
      <c r="AGY11" s="2"/>
      <c r="AGZ11" s="2"/>
      <c r="AHA11" s="2"/>
      <c r="AHB11" s="2"/>
      <c r="AHC11" s="2"/>
      <c r="AHD11" s="2"/>
      <c r="AHE11" s="2"/>
      <c r="AHF11" s="2"/>
      <c r="AHG11" s="2"/>
      <c r="AHH11" s="2"/>
      <c r="AHI11" s="2"/>
      <c r="AHJ11" s="2"/>
      <c r="AHK11" s="2"/>
      <c r="AHL11" s="2"/>
      <c r="AHM11" s="2"/>
      <c r="AHN11" s="2"/>
      <c r="AHO11" s="2"/>
      <c r="AHP11" s="2"/>
      <c r="AHQ11" s="2"/>
      <c r="AHR11" s="2"/>
      <c r="AHS11" s="2"/>
      <c r="AHT11" s="2"/>
      <c r="AHU11" s="2"/>
      <c r="AHV11" s="2"/>
      <c r="AHW11" s="2"/>
      <c r="AHX11" s="2"/>
      <c r="AHY11" s="2"/>
      <c r="AHZ11" s="2"/>
      <c r="AIA11" s="2"/>
      <c r="AIB11" s="2"/>
      <c r="AIC11" s="2"/>
      <c r="AID11" s="2"/>
      <c r="AIE11" s="2"/>
      <c r="AIF11" s="2"/>
      <c r="AIG11" s="2"/>
      <c r="AIH11" s="2"/>
      <c r="AII11" s="2"/>
      <c r="AIJ11" s="2"/>
      <c r="AIK11" s="2"/>
      <c r="AIL11" s="2"/>
      <c r="AIM11" s="2"/>
      <c r="AIN11" s="2"/>
      <c r="AIO11" s="2"/>
      <c r="AIP11" s="2"/>
      <c r="AIQ11" s="2"/>
      <c r="AIR11" s="2"/>
      <c r="AIS11" s="2"/>
      <c r="AIT11" s="2"/>
      <c r="AIU11" s="2"/>
      <c r="AIV11" s="2"/>
      <c r="AIW11" s="2"/>
      <c r="AIX11" s="2"/>
      <c r="AIY11" s="2"/>
      <c r="AIZ11" s="2"/>
      <c r="AJA11" s="2"/>
      <c r="AJB11" s="2"/>
      <c r="AJC11" s="2"/>
      <c r="AJD11" s="2"/>
      <c r="AJE11" s="2"/>
      <c r="AJF11" s="2"/>
      <c r="AJG11" s="2"/>
      <c r="AJH11" s="2"/>
      <c r="AJI11" s="2"/>
      <c r="AJJ11" s="2"/>
      <c r="AJK11" s="2"/>
      <c r="AJL11" s="2"/>
      <c r="AJM11" s="2"/>
      <c r="AJN11" s="2"/>
      <c r="AJO11" s="2"/>
      <c r="AJP11" s="2"/>
      <c r="AJQ11" s="2"/>
      <c r="AJR11" s="2"/>
      <c r="AJS11" s="2"/>
      <c r="AJT11" s="2"/>
      <c r="AJU11" s="2"/>
      <c r="AJV11" s="2"/>
      <c r="AJW11" s="2"/>
      <c r="AJX11" s="2"/>
      <c r="AJY11" s="2"/>
      <c r="AJZ11" s="2"/>
      <c r="AKA11" s="2"/>
    </row>
    <row r="12" spans="1:963">
      <c r="A12" s="7">
        <v>11</v>
      </c>
      <c r="B12" s="2">
        <v>4</v>
      </c>
      <c r="C12" s="16">
        <v>6.92</v>
      </c>
      <c r="D12" s="9">
        <v>5</v>
      </c>
      <c r="E12" s="9">
        <v>1.74</v>
      </c>
      <c r="F12" s="9">
        <v>0.08</v>
      </c>
      <c r="G12" s="16">
        <v>287</v>
      </c>
      <c r="H12" s="9">
        <f t="shared" si="3"/>
        <v>2.8735632183908044</v>
      </c>
      <c r="I12" s="9">
        <f t="shared" si="0"/>
        <v>4.5977011494252873E-2</v>
      </c>
      <c r="J12" s="9">
        <f t="shared" si="1"/>
        <v>164.94252873563218</v>
      </c>
      <c r="K12" s="9">
        <f t="shared" si="2"/>
        <v>824.71264367816093</v>
      </c>
      <c r="L12" s="16">
        <v>11</v>
      </c>
      <c r="M12" s="16" t="s">
        <v>31</v>
      </c>
      <c r="N12" s="16">
        <v>4</v>
      </c>
      <c r="O12" s="9">
        <v>6.92</v>
      </c>
      <c r="P12" s="9">
        <v>5</v>
      </c>
      <c r="Q12" s="9">
        <v>1.74</v>
      </c>
      <c r="R12" s="9">
        <v>0.08</v>
      </c>
      <c r="S12" s="9">
        <v>0.06</v>
      </c>
      <c r="T12" s="9">
        <v>0</v>
      </c>
      <c r="U12" s="9">
        <v>0.03</v>
      </c>
      <c r="V12" s="18">
        <v>6.07</v>
      </c>
      <c r="W12" s="18">
        <v>87</v>
      </c>
      <c r="X12" s="18">
        <v>0.27</v>
      </c>
      <c r="Y12" s="18">
        <v>287</v>
      </c>
      <c r="Z12" s="18">
        <v>0.2</v>
      </c>
      <c r="AA12" s="18"/>
      <c r="AB12" s="18">
        <v>154.5</v>
      </c>
      <c r="AC12" s="18">
        <v>3.71</v>
      </c>
      <c r="AD12" s="18">
        <v>116.7</v>
      </c>
      <c r="AE12" s="18">
        <v>3</v>
      </c>
      <c r="AF12" s="18">
        <v>5.94</v>
      </c>
      <c r="AG12" s="18">
        <v>84.3</v>
      </c>
      <c r="AH12" s="18">
        <v>1148.5999999999999</v>
      </c>
      <c r="AI12" s="18">
        <v>21.4</v>
      </c>
      <c r="AJ12" s="18">
        <v>30.4</v>
      </c>
      <c r="AK12" s="18">
        <v>86.55</v>
      </c>
      <c r="AL12" s="18">
        <v>34.36</v>
      </c>
      <c r="AM12" s="26">
        <v>1.014</v>
      </c>
      <c r="AN12" s="26">
        <v>0.84199999999999997</v>
      </c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  <c r="JC12" s="2"/>
      <c r="JD12" s="2"/>
      <c r="JE12" s="2"/>
      <c r="JF12" s="2"/>
      <c r="JG12" s="2"/>
      <c r="JH12" s="2"/>
      <c r="JI12" s="2"/>
      <c r="JJ12" s="2"/>
      <c r="JK12" s="2"/>
      <c r="JL12" s="2"/>
      <c r="JM12" s="2"/>
      <c r="JN12" s="2"/>
      <c r="JO12" s="2"/>
      <c r="JP12" s="2"/>
      <c r="JQ12" s="2"/>
      <c r="JR12" s="2"/>
      <c r="JS12" s="2"/>
      <c r="JT12" s="2"/>
      <c r="JU12" s="2"/>
      <c r="JV12" s="2"/>
      <c r="JW12" s="2"/>
      <c r="JX12" s="2"/>
      <c r="JY12" s="2"/>
      <c r="JZ12" s="2"/>
      <c r="KA12" s="2"/>
      <c r="KB12" s="2"/>
      <c r="KC12" s="2"/>
      <c r="KD12" s="2"/>
      <c r="KE12" s="2"/>
      <c r="KF12" s="2"/>
      <c r="KG12" s="2"/>
      <c r="KH12" s="2"/>
      <c r="KI12" s="2"/>
      <c r="KJ12" s="2"/>
      <c r="KK12" s="2"/>
      <c r="KL12" s="2"/>
      <c r="KM12" s="2"/>
      <c r="KN12" s="2"/>
      <c r="KO12" s="2"/>
      <c r="KP12" s="2"/>
      <c r="KQ12" s="2"/>
      <c r="KR12" s="2"/>
      <c r="KS12" s="2"/>
      <c r="KT12" s="2"/>
      <c r="KU12" s="2"/>
      <c r="KV12" s="2"/>
      <c r="KW12" s="2"/>
      <c r="KX12" s="2"/>
      <c r="KY12" s="2"/>
      <c r="KZ12" s="2"/>
      <c r="LA12" s="2"/>
      <c r="LB12" s="2"/>
      <c r="LC12" s="2"/>
      <c r="LD12" s="2"/>
      <c r="LE12" s="2"/>
      <c r="LF12" s="2"/>
      <c r="LG12" s="2"/>
      <c r="LH12" s="2"/>
      <c r="LI12" s="2"/>
      <c r="LJ12" s="2"/>
      <c r="LK12" s="2"/>
      <c r="LL12" s="2"/>
      <c r="LM12" s="2"/>
      <c r="LN12" s="2"/>
      <c r="LO12" s="2"/>
      <c r="LP12" s="2"/>
      <c r="LQ12" s="2"/>
      <c r="LR12" s="2"/>
      <c r="LS12" s="2"/>
      <c r="LT12" s="2"/>
      <c r="LU12" s="2"/>
      <c r="LV12" s="2"/>
      <c r="LW12" s="2"/>
      <c r="LX12" s="2"/>
      <c r="LY12" s="2"/>
      <c r="LZ12" s="2"/>
      <c r="MA12" s="2"/>
      <c r="MB12" s="2"/>
      <c r="MC12" s="2"/>
      <c r="MD12" s="2"/>
      <c r="ME12" s="2"/>
      <c r="MF12" s="2"/>
      <c r="MG12" s="2"/>
      <c r="MH12" s="2"/>
      <c r="MI12" s="2"/>
      <c r="MJ12" s="2"/>
      <c r="MK12" s="2"/>
      <c r="ML12" s="2"/>
      <c r="MM12" s="2"/>
      <c r="MN12" s="2"/>
      <c r="MO12" s="2"/>
      <c r="MP12" s="2"/>
      <c r="MQ12" s="2"/>
      <c r="MR12" s="2"/>
      <c r="MS12" s="2"/>
      <c r="MT12" s="2"/>
      <c r="MU12" s="2"/>
      <c r="MV12" s="2"/>
      <c r="MW12" s="2"/>
      <c r="MX12" s="2"/>
      <c r="MY12" s="2"/>
      <c r="MZ12" s="2"/>
      <c r="NA12" s="2"/>
      <c r="NB12" s="2"/>
      <c r="NC12" s="2"/>
      <c r="ND12" s="2"/>
      <c r="NE12" s="2"/>
      <c r="NF12" s="2"/>
      <c r="NG12" s="2"/>
      <c r="NH12" s="2"/>
      <c r="NI12" s="2"/>
      <c r="NJ12" s="2"/>
      <c r="NK12" s="2"/>
      <c r="NL12" s="2"/>
      <c r="NM12" s="2"/>
      <c r="NN12" s="2"/>
      <c r="NO12" s="2"/>
      <c r="NP12" s="2"/>
      <c r="NQ12" s="2"/>
      <c r="NR12" s="2"/>
      <c r="NS12" s="2"/>
      <c r="NT12" s="2"/>
      <c r="NU12" s="2"/>
      <c r="NV12" s="2"/>
      <c r="NW12" s="2"/>
      <c r="NX12" s="2"/>
      <c r="NY12" s="2"/>
      <c r="NZ12" s="2"/>
      <c r="OA12" s="2"/>
      <c r="OB12" s="2"/>
      <c r="OC12" s="2"/>
      <c r="OD12" s="2"/>
      <c r="OE12" s="2"/>
      <c r="OF12" s="2"/>
      <c r="OG12" s="2"/>
      <c r="OH12" s="2"/>
      <c r="OI12" s="2"/>
      <c r="OJ12" s="2"/>
      <c r="OK12" s="2"/>
      <c r="OL12" s="2"/>
      <c r="OM12" s="2"/>
      <c r="ON12" s="2"/>
      <c r="OO12" s="2"/>
      <c r="OP12" s="2"/>
      <c r="OQ12" s="2"/>
      <c r="OR12" s="2"/>
      <c r="OS12" s="2"/>
      <c r="OT12" s="2"/>
      <c r="OU12" s="2"/>
      <c r="OV12" s="2"/>
      <c r="OW12" s="2"/>
      <c r="OX12" s="2"/>
      <c r="OY12" s="2"/>
      <c r="OZ12" s="2"/>
      <c r="PA12" s="2"/>
      <c r="PB12" s="2"/>
      <c r="PC12" s="2"/>
      <c r="PD12" s="2"/>
      <c r="PE12" s="2"/>
      <c r="PF12" s="2"/>
      <c r="PG12" s="2"/>
      <c r="PH12" s="2"/>
      <c r="PI12" s="2"/>
      <c r="PJ12" s="2"/>
      <c r="PK12" s="2"/>
      <c r="PL12" s="2"/>
      <c r="PM12" s="2"/>
      <c r="PN12" s="2"/>
      <c r="PO12" s="2"/>
      <c r="PP12" s="2"/>
      <c r="PQ12" s="2"/>
      <c r="PR12" s="2"/>
      <c r="PS12" s="2"/>
      <c r="PT12" s="2"/>
      <c r="PU12" s="2"/>
      <c r="PV12" s="2"/>
      <c r="PW12" s="2"/>
      <c r="PX12" s="2"/>
      <c r="PY12" s="2"/>
      <c r="PZ12" s="2"/>
      <c r="QA12" s="2"/>
      <c r="QB12" s="2"/>
      <c r="QC12" s="2"/>
      <c r="QD12" s="2"/>
      <c r="QE12" s="2"/>
      <c r="QF12" s="2"/>
      <c r="QG12" s="2"/>
      <c r="QH12" s="2"/>
      <c r="QI12" s="2"/>
      <c r="QJ12" s="2"/>
      <c r="QK12" s="2"/>
      <c r="QL12" s="2"/>
      <c r="QM12" s="2"/>
      <c r="QN12" s="2"/>
      <c r="QO12" s="2"/>
      <c r="QP12" s="2"/>
      <c r="QQ12" s="2"/>
      <c r="QR12" s="2"/>
      <c r="QS12" s="2"/>
      <c r="QT12" s="2"/>
      <c r="QU12" s="2"/>
      <c r="QV12" s="2"/>
      <c r="QW12" s="2"/>
      <c r="QX12" s="2"/>
      <c r="QY12" s="2"/>
      <c r="QZ12" s="2"/>
      <c r="RA12" s="2"/>
      <c r="RB12" s="2"/>
      <c r="RC12" s="2"/>
      <c r="RD12" s="2"/>
      <c r="RE12" s="2"/>
      <c r="RF12" s="2"/>
      <c r="RG12" s="2"/>
      <c r="RH12" s="2"/>
      <c r="RI12" s="2"/>
      <c r="RJ12" s="2"/>
      <c r="RK12" s="2"/>
      <c r="RL12" s="2"/>
      <c r="RM12" s="2"/>
      <c r="RN12" s="2"/>
      <c r="RO12" s="2"/>
      <c r="RP12" s="2"/>
      <c r="RQ12" s="2"/>
      <c r="RR12" s="2"/>
      <c r="RS12" s="2"/>
      <c r="RT12" s="2"/>
      <c r="RU12" s="2"/>
      <c r="RV12" s="2"/>
      <c r="RW12" s="2"/>
      <c r="RX12" s="2"/>
      <c r="RY12" s="2"/>
      <c r="RZ12" s="2"/>
      <c r="SA12" s="2"/>
      <c r="SB12" s="2"/>
      <c r="SC12" s="2"/>
      <c r="SD12" s="2"/>
      <c r="SE12" s="2"/>
      <c r="SF12" s="2"/>
      <c r="SG12" s="2"/>
      <c r="SH12" s="2"/>
      <c r="SI12" s="2"/>
      <c r="SJ12" s="2"/>
      <c r="SK12" s="2"/>
      <c r="SL12" s="2"/>
      <c r="SM12" s="2"/>
      <c r="SN12" s="2"/>
      <c r="SO12" s="2"/>
      <c r="SP12" s="2"/>
      <c r="SQ12" s="2"/>
      <c r="SR12" s="2"/>
      <c r="SS12" s="2"/>
      <c r="ST12" s="2"/>
      <c r="SU12" s="2"/>
      <c r="SV12" s="2"/>
      <c r="SW12" s="2"/>
      <c r="SX12" s="2"/>
      <c r="SY12" s="2"/>
      <c r="SZ12" s="2"/>
      <c r="TA12" s="2"/>
      <c r="TB12" s="2"/>
      <c r="TC12" s="2"/>
      <c r="TD12" s="2"/>
      <c r="TE12" s="2"/>
      <c r="TF12" s="2"/>
      <c r="TG12" s="2"/>
      <c r="TH12" s="2"/>
      <c r="TI12" s="2"/>
      <c r="TJ12" s="2"/>
      <c r="TK12" s="2"/>
      <c r="TL12" s="2"/>
      <c r="TM12" s="2"/>
      <c r="TN12" s="2"/>
      <c r="TO12" s="2"/>
      <c r="TP12" s="2"/>
      <c r="TQ12" s="2"/>
      <c r="TR12" s="2"/>
      <c r="TS12" s="2"/>
      <c r="TT12" s="2"/>
      <c r="TU12" s="2"/>
      <c r="TV12" s="2"/>
      <c r="TW12" s="2"/>
      <c r="TX12" s="2"/>
      <c r="TY12" s="2"/>
      <c r="TZ12" s="2"/>
      <c r="UA12" s="2"/>
      <c r="UB12" s="2"/>
      <c r="UC12" s="2"/>
      <c r="UD12" s="2"/>
      <c r="UE12" s="2"/>
      <c r="UF12" s="2"/>
      <c r="UG12" s="2"/>
      <c r="UH12" s="2"/>
      <c r="UI12" s="2"/>
      <c r="UJ12" s="2"/>
      <c r="UK12" s="2"/>
      <c r="UL12" s="2"/>
      <c r="UM12" s="2"/>
      <c r="UN12" s="2"/>
      <c r="UO12" s="2"/>
      <c r="UP12" s="2"/>
      <c r="UQ12" s="2"/>
      <c r="UR12" s="2"/>
      <c r="US12" s="2"/>
      <c r="UT12" s="2"/>
      <c r="UU12" s="2"/>
      <c r="UV12" s="2"/>
      <c r="UW12" s="2"/>
      <c r="UX12" s="2"/>
      <c r="UY12" s="2"/>
      <c r="UZ12" s="2"/>
      <c r="VA12" s="2"/>
      <c r="VB12" s="2"/>
      <c r="VC12" s="2"/>
      <c r="VD12" s="2"/>
      <c r="VE12" s="2"/>
      <c r="VF12" s="2"/>
      <c r="VG12" s="2"/>
      <c r="VH12" s="2"/>
      <c r="VI12" s="2"/>
      <c r="VJ12" s="2"/>
      <c r="VK12" s="2"/>
      <c r="VL12" s="2"/>
      <c r="VM12" s="2"/>
      <c r="VN12" s="2"/>
      <c r="VO12" s="2"/>
      <c r="VP12" s="2"/>
      <c r="VQ12" s="2"/>
      <c r="VR12" s="2"/>
      <c r="VS12" s="2"/>
      <c r="VT12" s="2"/>
      <c r="VU12" s="2"/>
      <c r="VV12" s="2"/>
      <c r="VW12" s="2"/>
      <c r="VX12" s="2"/>
      <c r="VY12" s="2"/>
      <c r="VZ12" s="2"/>
      <c r="WA12" s="2"/>
      <c r="WB12" s="2"/>
      <c r="WC12" s="2"/>
      <c r="WD12" s="2"/>
      <c r="WE12" s="2"/>
      <c r="WF12" s="2"/>
      <c r="WG12" s="2"/>
      <c r="WH12" s="2"/>
      <c r="WI12" s="2"/>
      <c r="WJ12" s="2"/>
      <c r="WK12" s="2"/>
      <c r="WL12" s="2"/>
      <c r="WM12" s="2"/>
      <c r="WN12" s="2"/>
      <c r="WO12" s="2"/>
      <c r="WP12" s="2"/>
      <c r="WQ12" s="2"/>
      <c r="WR12" s="2"/>
      <c r="WS12" s="2"/>
      <c r="WT12" s="2"/>
      <c r="WU12" s="2"/>
      <c r="WV12" s="2"/>
      <c r="WW12" s="2"/>
      <c r="WX12" s="2"/>
      <c r="WY12" s="2"/>
      <c r="WZ12" s="2"/>
      <c r="XA12" s="2"/>
      <c r="XB12" s="2"/>
      <c r="XC12" s="2"/>
      <c r="XD12" s="2"/>
      <c r="XE12" s="2"/>
      <c r="XF12" s="2"/>
      <c r="XG12" s="2"/>
      <c r="XH12" s="2"/>
      <c r="XI12" s="2"/>
      <c r="XJ12" s="2"/>
      <c r="XK12" s="2"/>
      <c r="XL12" s="2"/>
      <c r="XM12" s="2"/>
      <c r="XN12" s="2"/>
      <c r="XO12" s="2"/>
      <c r="XP12" s="2"/>
      <c r="XQ12" s="2"/>
      <c r="XR12" s="2"/>
      <c r="XS12" s="2"/>
      <c r="XT12" s="2"/>
      <c r="XU12" s="2"/>
      <c r="XV12" s="2"/>
      <c r="XW12" s="2"/>
      <c r="XX12" s="2"/>
      <c r="XY12" s="2"/>
      <c r="XZ12" s="2"/>
      <c r="YA12" s="2"/>
      <c r="YB12" s="2"/>
      <c r="YC12" s="2"/>
      <c r="YD12" s="2"/>
      <c r="YE12" s="2"/>
      <c r="YF12" s="2"/>
      <c r="YG12" s="2"/>
      <c r="YH12" s="2"/>
      <c r="YI12" s="2"/>
      <c r="YJ12" s="2"/>
      <c r="YK12" s="2"/>
      <c r="YL12" s="2"/>
      <c r="YM12" s="2"/>
      <c r="YN12" s="2"/>
      <c r="YO12" s="2"/>
      <c r="YP12" s="2"/>
      <c r="YQ12" s="2"/>
      <c r="YR12" s="2"/>
      <c r="YS12" s="2"/>
      <c r="YT12" s="2"/>
      <c r="YU12" s="2"/>
      <c r="YV12" s="2"/>
      <c r="YW12" s="2"/>
      <c r="YX12" s="2"/>
      <c r="YY12" s="2"/>
      <c r="YZ12" s="2"/>
      <c r="ZA12" s="2"/>
      <c r="ZB12" s="2"/>
      <c r="ZC12" s="2"/>
      <c r="ZD12" s="2"/>
      <c r="ZE12" s="2"/>
      <c r="ZF12" s="2"/>
      <c r="ZG12" s="2"/>
      <c r="ZH12" s="2"/>
      <c r="ZI12" s="2"/>
      <c r="ZJ12" s="2"/>
      <c r="ZK12" s="2"/>
      <c r="ZL12" s="2"/>
      <c r="ZM12" s="2"/>
      <c r="ZN12" s="2"/>
      <c r="ZO12" s="2"/>
      <c r="ZP12" s="2"/>
      <c r="ZQ12" s="2"/>
      <c r="ZR12" s="2"/>
      <c r="ZS12" s="2"/>
      <c r="ZT12" s="2"/>
      <c r="ZU12" s="2"/>
      <c r="ZV12" s="2"/>
      <c r="ZW12" s="2"/>
      <c r="ZX12" s="2"/>
      <c r="ZY12" s="2"/>
      <c r="ZZ12" s="2"/>
      <c r="AAA12" s="2"/>
      <c r="AAB12" s="2"/>
      <c r="AAC12" s="2"/>
      <c r="AAD12" s="2"/>
      <c r="AAE12" s="2"/>
      <c r="AAF12" s="2"/>
      <c r="AAG12" s="2"/>
      <c r="AAH12" s="2"/>
      <c r="AAI12" s="2"/>
      <c r="AAJ12" s="2"/>
      <c r="AAK12" s="2"/>
      <c r="AAL12" s="2"/>
      <c r="AAM12" s="2"/>
      <c r="AAN12" s="2"/>
      <c r="AAO12" s="2"/>
      <c r="AAP12" s="2"/>
      <c r="AAQ12" s="2"/>
      <c r="AAR12" s="2"/>
      <c r="AAS12" s="2"/>
      <c r="AAT12" s="2"/>
      <c r="AAU12" s="2"/>
      <c r="AAV12" s="2"/>
      <c r="AAW12" s="2"/>
      <c r="AAX12" s="2"/>
      <c r="AAY12" s="2"/>
      <c r="AAZ12" s="2"/>
      <c r="ABA12" s="2"/>
      <c r="ABB12" s="2"/>
      <c r="ABC12" s="2"/>
      <c r="ABD12" s="2"/>
      <c r="ABE12" s="2"/>
      <c r="ABF12" s="2"/>
      <c r="ABG12" s="2"/>
      <c r="ABH12" s="2"/>
      <c r="ABI12" s="2"/>
      <c r="ABJ12" s="2"/>
      <c r="ABK12" s="2"/>
      <c r="ABL12" s="2"/>
      <c r="ABM12" s="2"/>
      <c r="ABN12" s="2"/>
      <c r="ABO12" s="2"/>
      <c r="ABP12" s="2"/>
      <c r="ABQ12" s="2"/>
      <c r="ABR12" s="2"/>
      <c r="ABS12" s="2"/>
      <c r="ABT12" s="2"/>
      <c r="ABU12" s="2"/>
      <c r="ABV12" s="2"/>
      <c r="ABW12" s="2"/>
      <c r="ABX12" s="2"/>
      <c r="ABY12" s="2"/>
      <c r="ABZ12" s="2"/>
      <c r="ACA12" s="2"/>
      <c r="ACB12" s="2"/>
      <c r="ACC12" s="2"/>
      <c r="ACD12" s="2"/>
      <c r="ACE12" s="2"/>
      <c r="ACF12" s="2"/>
      <c r="ACG12" s="2"/>
      <c r="ACH12" s="2"/>
      <c r="ACI12" s="2"/>
      <c r="ACJ12" s="2"/>
      <c r="ACK12" s="2"/>
      <c r="ACL12" s="2"/>
      <c r="ACM12" s="2"/>
      <c r="ACN12" s="2"/>
      <c r="ACO12" s="2"/>
      <c r="ACP12" s="2"/>
      <c r="ACQ12" s="2"/>
      <c r="ACR12" s="2"/>
      <c r="ACS12" s="2"/>
      <c r="ACT12" s="2"/>
      <c r="ACU12" s="2"/>
      <c r="ACV12" s="2"/>
      <c r="ACW12" s="2"/>
      <c r="ACX12" s="2"/>
      <c r="ACY12" s="2"/>
      <c r="ACZ12" s="2"/>
      <c r="ADA12" s="2"/>
      <c r="ADB12" s="2"/>
      <c r="ADC12" s="2"/>
      <c r="ADD12" s="2"/>
      <c r="ADE12" s="2"/>
      <c r="ADF12" s="2"/>
      <c r="ADG12" s="2"/>
      <c r="ADH12" s="2"/>
      <c r="ADI12" s="2"/>
      <c r="ADJ12" s="2"/>
      <c r="ADK12" s="2"/>
      <c r="ADL12" s="2"/>
      <c r="ADM12" s="2"/>
      <c r="ADN12" s="2"/>
      <c r="ADO12" s="2"/>
      <c r="ADP12" s="2"/>
      <c r="ADQ12" s="2"/>
      <c r="ADR12" s="2"/>
      <c r="ADS12" s="2"/>
      <c r="ADT12" s="2"/>
      <c r="ADU12" s="2"/>
      <c r="ADV12" s="2"/>
      <c r="ADW12" s="2"/>
      <c r="ADX12" s="2"/>
      <c r="ADY12" s="2"/>
      <c r="ADZ12" s="2"/>
      <c r="AEA12" s="2"/>
      <c r="AEB12" s="2"/>
      <c r="AEC12" s="2"/>
      <c r="AED12" s="2"/>
      <c r="AEE12" s="2"/>
      <c r="AEF12" s="2"/>
      <c r="AEG12" s="2"/>
      <c r="AEH12" s="2"/>
      <c r="AEI12" s="2"/>
      <c r="AEJ12" s="2"/>
      <c r="AEK12" s="2"/>
      <c r="AEL12" s="2"/>
      <c r="AEM12" s="2"/>
      <c r="AEN12" s="2"/>
      <c r="AEO12" s="2"/>
      <c r="AEP12" s="2"/>
      <c r="AEQ12" s="2"/>
      <c r="AER12" s="2"/>
      <c r="AES12" s="2"/>
      <c r="AET12" s="2"/>
      <c r="AEU12" s="2"/>
      <c r="AEV12" s="2"/>
      <c r="AEW12" s="2"/>
      <c r="AEX12" s="2"/>
      <c r="AEY12" s="2"/>
      <c r="AEZ12" s="2"/>
      <c r="AFA12" s="2"/>
      <c r="AFB12" s="2"/>
      <c r="AFC12" s="2"/>
      <c r="AFD12" s="2"/>
      <c r="AFE12" s="2"/>
      <c r="AFF12" s="2"/>
      <c r="AFG12" s="2"/>
      <c r="AFH12" s="2"/>
      <c r="AFI12" s="2"/>
      <c r="AFJ12" s="2"/>
      <c r="AFK12" s="2"/>
      <c r="AFL12" s="2"/>
      <c r="AFM12" s="2"/>
      <c r="AFN12" s="2"/>
      <c r="AFO12" s="2"/>
      <c r="AFP12" s="2"/>
      <c r="AFQ12" s="2"/>
      <c r="AFR12" s="2"/>
      <c r="AFS12" s="2"/>
      <c r="AFT12" s="2"/>
      <c r="AFU12" s="2"/>
      <c r="AFV12" s="2"/>
      <c r="AFW12" s="2"/>
      <c r="AFX12" s="2"/>
      <c r="AFY12" s="2"/>
      <c r="AFZ12" s="2"/>
      <c r="AGA12" s="2"/>
      <c r="AGB12" s="2"/>
      <c r="AGC12" s="2"/>
      <c r="AGD12" s="2"/>
      <c r="AGE12" s="2"/>
      <c r="AGF12" s="2"/>
      <c r="AGG12" s="2"/>
      <c r="AGH12" s="2"/>
      <c r="AGI12" s="2"/>
      <c r="AGJ12" s="2"/>
      <c r="AGK12" s="2"/>
      <c r="AGL12" s="2"/>
      <c r="AGM12" s="2"/>
      <c r="AGN12" s="2"/>
      <c r="AGO12" s="2"/>
      <c r="AGP12" s="2"/>
      <c r="AGQ12" s="2"/>
      <c r="AGR12" s="2"/>
      <c r="AGS12" s="2"/>
      <c r="AGT12" s="2"/>
      <c r="AGU12" s="2"/>
      <c r="AGV12" s="2"/>
      <c r="AGW12" s="2"/>
      <c r="AGX12" s="2"/>
      <c r="AGY12" s="2"/>
      <c r="AGZ12" s="2"/>
      <c r="AHA12" s="2"/>
      <c r="AHB12" s="2"/>
      <c r="AHC12" s="2"/>
      <c r="AHD12" s="2"/>
      <c r="AHE12" s="2"/>
      <c r="AHF12" s="2"/>
      <c r="AHG12" s="2"/>
      <c r="AHH12" s="2"/>
      <c r="AHI12" s="2"/>
      <c r="AHJ12" s="2"/>
      <c r="AHK12" s="2"/>
      <c r="AHL12" s="2"/>
      <c r="AHM12" s="2"/>
      <c r="AHN12" s="2"/>
      <c r="AHO12" s="2"/>
      <c r="AHP12" s="2"/>
      <c r="AHQ12" s="2"/>
      <c r="AHR12" s="2"/>
      <c r="AHS12" s="2"/>
      <c r="AHT12" s="2"/>
      <c r="AHU12" s="2"/>
      <c r="AHV12" s="2"/>
      <c r="AHW12" s="2"/>
      <c r="AHX12" s="2"/>
      <c r="AHY12" s="2"/>
      <c r="AHZ12" s="2"/>
      <c r="AIA12" s="2"/>
      <c r="AIB12" s="2"/>
      <c r="AIC12" s="2"/>
      <c r="AID12" s="2"/>
      <c r="AIE12" s="2"/>
      <c r="AIF12" s="2"/>
      <c r="AIG12" s="2"/>
      <c r="AIH12" s="2"/>
      <c r="AII12" s="2"/>
      <c r="AIJ12" s="2"/>
      <c r="AIK12" s="2"/>
      <c r="AIL12" s="2"/>
      <c r="AIM12" s="2"/>
      <c r="AIN12" s="2"/>
      <c r="AIO12" s="2"/>
      <c r="AIP12" s="2"/>
      <c r="AIQ12" s="2"/>
      <c r="AIR12" s="2"/>
      <c r="AIS12" s="2"/>
      <c r="AIT12" s="2"/>
      <c r="AIU12" s="2"/>
      <c r="AIV12" s="2"/>
      <c r="AIW12" s="2"/>
      <c r="AIX12" s="2"/>
      <c r="AIY12" s="2"/>
      <c r="AIZ12" s="2"/>
      <c r="AJA12" s="2"/>
      <c r="AJB12" s="2"/>
      <c r="AJC12" s="2"/>
      <c r="AJD12" s="2"/>
      <c r="AJE12" s="2"/>
      <c r="AJF12" s="2"/>
      <c r="AJG12" s="2"/>
      <c r="AJH12" s="2"/>
      <c r="AJI12" s="2"/>
      <c r="AJJ12" s="2"/>
      <c r="AJK12" s="2"/>
      <c r="AJL12" s="2"/>
      <c r="AJM12" s="2"/>
      <c r="AJN12" s="2"/>
      <c r="AJO12" s="2"/>
      <c r="AJP12" s="2"/>
      <c r="AJQ12" s="2"/>
      <c r="AJR12" s="2"/>
      <c r="AJS12" s="2"/>
      <c r="AJT12" s="2"/>
      <c r="AJU12" s="2"/>
      <c r="AJV12" s="2"/>
      <c r="AJW12" s="2"/>
      <c r="AJX12" s="2"/>
      <c r="AJY12" s="2"/>
      <c r="AJZ12" s="2"/>
      <c r="AKA12" s="2"/>
    </row>
    <row r="13" spans="1:963">
      <c r="A13" s="7">
        <v>12</v>
      </c>
      <c r="B13" s="2">
        <v>4</v>
      </c>
      <c r="C13" s="16">
        <v>14.33</v>
      </c>
      <c r="D13" s="9">
        <v>10.85</v>
      </c>
      <c r="E13" s="9">
        <v>2.85</v>
      </c>
      <c r="F13" s="9">
        <v>0.23</v>
      </c>
      <c r="G13" s="16">
        <v>683</v>
      </c>
      <c r="H13" s="9">
        <f t="shared" si="3"/>
        <v>3.807017543859649</v>
      </c>
      <c r="I13" s="9">
        <f t="shared" si="0"/>
        <v>8.0701754385964913E-2</v>
      </c>
      <c r="J13" s="9">
        <f t="shared" si="1"/>
        <v>239.64912280701753</v>
      </c>
      <c r="K13" s="9">
        <f t="shared" si="2"/>
        <v>2600.1929824561403</v>
      </c>
      <c r="L13" s="16">
        <v>7</v>
      </c>
      <c r="M13" s="16" t="s">
        <v>31</v>
      </c>
      <c r="N13" s="16">
        <v>2</v>
      </c>
      <c r="O13" s="9">
        <v>14.33</v>
      </c>
      <c r="P13" s="9">
        <v>10.85</v>
      </c>
      <c r="Q13" s="9">
        <v>2.85</v>
      </c>
      <c r="R13" s="9">
        <v>0.23</v>
      </c>
      <c r="S13" s="9">
        <v>0.36</v>
      </c>
      <c r="T13" s="9">
        <v>0</v>
      </c>
      <c r="U13" s="9">
        <v>0.04</v>
      </c>
      <c r="V13" s="18">
        <v>4.88</v>
      </c>
      <c r="W13" s="18">
        <v>77</v>
      </c>
      <c r="X13" s="18">
        <v>0.26</v>
      </c>
      <c r="Y13" s="18">
        <v>683</v>
      </c>
      <c r="Z13" s="18">
        <v>0.2</v>
      </c>
      <c r="AA13" s="18"/>
      <c r="AB13" s="18">
        <v>159.6</v>
      </c>
      <c r="AC13" s="18">
        <v>2.96</v>
      </c>
      <c r="AD13" s="18">
        <v>120.5</v>
      </c>
      <c r="AE13" s="18">
        <v>2.87</v>
      </c>
      <c r="AF13" s="18">
        <v>4.96</v>
      </c>
      <c r="AG13" s="18">
        <v>35</v>
      </c>
      <c r="AH13" s="18">
        <v>400.8</v>
      </c>
      <c r="AI13" s="18">
        <v>17</v>
      </c>
      <c r="AJ13" s="18">
        <v>133.1</v>
      </c>
      <c r="AK13" s="18">
        <v>62.5</v>
      </c>
      <c r="AL13" s="18">
        <v>26.3</v>
      </c>
      <c r="AM13" s="26">
        <v>1.018</v>
      </c>
      <c r="AN13" s="26">
        <v>0.88800000000000001</v>
      </c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  <c r="JC13" s="2"/>
      <c r="JD13" s="2"/>
      <c r="JE13" s="2"/>
      <c r="JF13" s="2"/>
      <c r="JG13" s="2"/>
      <c r="JH13" s="2"/>
      <c r="JI13" s="2"/>
      <c r="JJ13" s="2"/>
      <c r="JK13" s="2"/>
      <c r="JL13" s="2"/>
      <c r="JM13" s="2"/>
      <c r="JN13" s="2"/>
      <c r="JO13" s="2"/>
      <c r="JP13" s="2"/>
      <c r="JQ13" s="2"/>
      <c r="JR13" s="2"/>
      <c r="JS13" s="2"/>
      <c r="JT13" s="2"/>
      <c r="JU13" s="2"/>
      <c r="JV13" s="2"/>
      <c r="JW13" s="2"/>
      <c r="JX13" s="2"/>
      <c r="JY13" s="2"/>
      <c r="JZ13" s="2"/>
      <c r="KA13" s="2"/>
      <c r="KB13" s="2"/>
      <c r="KC13" s="2"/>
      <c r="KD13" s="2"/>
      <c r="KE13" s="2"/>
      <c r="KF13" s="2"/>
      <c r="KG13" s="2"/>
      <c r="KH13" s="2"/>
      <c r="KI13" s="2"/>
      <c r="KJ13" s="2"/>
      <c r="KK13" s="2"/>
      <c r="KL13" s="2"/>
      <c r="KM13" s="2"/>
      <c r="KN13" s="2"/>
      <c r="KO13" s="2"/>
      <c r="KP13" s="2"/>
      <c r="KQ13" s="2"/>
      <c r="KR13" s="2"/>
      <c r="KS13" s="2"/>
      <c r="KT13" s="2"/>
      <c r="KU13" s="2"/>
      <c r="KV13" s="2"/>
      <c r="KW13" s="2"/>
      <c r="KX13" s="2"/>
      <c r="KY13" s="2"/>
      <c r="KZ13" s="2"/>
      <c r="LA13" s="2"/>
      <c r="LB13" s="2"/>
      <c r="LC13" s="2"/>
      <c r="LD13" s="2"/>
      <c r="LE13" s="2"/>
      <c r="LF13" s="2"/>
      <c r="LG13" s="2"/>
      <c r="LH13" s="2"/>
      <c r="LI13" s="2"/>
      <c r="LJ13" s="2"/>
      <c r="LK13" s="2"/>
      <c r="LL13" s="2"/>
      <c r="LM13" s="2"/>
      <c r="LN13" s="2"/>
      <c r="LO13" s="2"/>
      <c r="LP13" s="2"/>
      <c r="LQ13" s="2"/>
      <c r="LR13" s="2"/>
      <c r="LS13" s="2"/>
      <c r="LT13" s="2"/>
      <c r="LU13" s="2"/>
      <c r="LV13" s="2"/>
      <c r="LW13" s="2"/>
      <c r="LX13" s="2"/>
      <c r="LY13" s="2"/>
      <c r="LZ13" s="2"/>
      <c r="MA13" s="2"/>
      <c r="MB13" s="2"/>
      <c r="MC13" s="2"/>
      <c r="MD13" s="2"/>
      <c r="ME13" s="2"/>
      <c r="MF13" s="2"/>
      <c r="MG13" s="2"/>
      <c r="MH13" s="2"/>
      <c r="MI13" s="2"/>
      <c r="MJ13" s="2"/>
      <c r="MK13" s="2"/>
      <c r="ML13" s="2"/>
      <c r="MM13" s="2"/>
      <c r="MN13" s="2"/>
      <c r="MO13" s="2"/>
      <c r="MP13" s="2"/>
      <c r="MQ13" s="2"/>
      <c r="MR13" s="2"/>
      <c r="MS13" s="2"/>
      <c r="MT13" s="2"/>
      <c r="MU13" s="2"/>
      <c r="MV13" s="2"/>
      <c r="MW13" s="2"/>
      <c r="MX13" s="2"/>
      <c r="MY13" s="2"/>
      <c r="MZ13" s="2"/>
      <c r="NA13" s="2"/>
      <c r="NB13" s="2"/>
      <c r="NC13" s="2"/>
      <c r="ND13" s="2"/>
      <c r="NE13" s="2"/>
      <c r="NF13" s="2"/>
      <c r="NG13" s="2"/>
      <c r="NH13" s="2"/>
      <c r="NI13" s="2"/>
      <c r="NJ13" s="2"/>
      <c r="NK13" s="2"/>
      <c r="NL13" s="2"/>
      <c r="NM13" s="2"/>
      <c r="NN13" s="2"/>
      <c r="NO13" s="2"/>
      <c r="NP13" s="2"/>
      <c r="NQ13" s="2"/>
      <c r="NR13" s="2"/>
      <c r="NS13" s="2"/>
      <c r="NT13" s="2"/>
      <c r="NU13" s="2"/>
      <c r="NV13" s="2"/>
      <c r="NW13" s="2"/>
      <c r="NX13" s="2"/>
      <c r="NY13" s="2"/>
      <c r="NZ13" s="2"/>
      <c r="OA13" s="2"/>
      <c r="OB13" s="2"/>
      <c r="OC13" s="2"/>
      <c r="OD13" s="2"/>
      <c r="OE13" s="2"/>
      <c r="OF13" s="2"/>
      <c r="OG13" s="2"/>
      <c r="OH13" s="2"/>
      <c r="OI13" s="2"/>
      <c r="OJ13" s="2"/>
      <c r="OK13" s="2"/>
      <c r="OL13" s="2"/>
      <c r="OM13" s="2"/>
      <c r="ON13" s="2"/>
      <c r="OO13" s="2"/>
      <c r="OP13" s="2"/>
      <c r="OQ13" s="2"/>
      <c r="OR13" s="2"/>
      <c r="OS13" s="2"/>
      <c r="OT13" s="2"/>
      <c r="OU13" s="2"/>
      <c r="OV13" s="2"/>
      <c r="OW13" s="2"/>
      <c r="OX13" s="2"/>
      <c r="OY13" s="2"/>
      <c r="OZ13" s="2"/>
      <c r="PA13" s="2"/>
      <c r="PB13" s="2"/>
      <c r="PC13" s="2"/>
      <c r="PD13" s="2"/>
      <c r="PE13" s="2"/>
      <c r="PF13" s="2"/>
      <c r="PG13" s="2"/>
      <c r="PH13" s="2"/>
      <c r="PI13" s="2"/>
      <c r="PJ13" s="2"/>
      <c r="PK13" s="2"/>
      <c r="PL13" s="2"/>
      <c r="PM13" s="2"/>
      <c r="PN13" s="2"/>
      <c r="PO13" s="2"/>
      <c r="PP13" s="2"/>
      <c r="PQ13" s="2"/>
      <c r="PR13" s="2"/>
      <c r="PS13" s="2"/>
      <c r="PT13" s="2"/>
      <c r="PU13" s="2"/>
      <c r="PV13" s="2"/>
      <c r="PW13" s="2"/>
      <c r="PX13" s="2"/>
      <c r="PY13" s="2"/>
      <c r="PZ13" s="2"/>
      <c r="QA13" s="2"/>
      <c r="QB13" s="2"/>
      <c r="QC13" s="2"/>
      <c r="QD13" s="2"/>
      <c r="QE13" s="2"/>
      <c r="QF13" s="2"/>
      <c r="QG13" s="2"/>
      <c r="QH13" s="2"/>
      <c r="QI13" s="2"/>
      <c r="QJ13" s="2"/>
      <c r="QK13" s="2"/>
      <c r="QL13" s="2"/>
      <c r="QM13" s="2"/>
      <c r="QN13" s="2"/>
      <c r="QO13" s="2"/>
      <c r="QP13" s="2"/>
      <c r="QQ13" s="2"/>
      <c r="QR13" s="2"/>
      <c r="QS13" s="2"/>
      <c r="QT13" s="2"/>
      <c r="QU13" s="2"/>
      <c r="QV13" s="2"/>
      <c r="QW13" s="2"/>
      <c r="QX13" s="2"/>
      <c r="QY13" s="2"/>
      <c r="QZ13" s="2"/>
      <c r="RA13" s="2"/>
      <c r="RB13" s="2"/>
      <c r="RC13" s="2"/>
      <c r="RD13" s="2"/>
      <c r="RE13" s="2"/>
      <c r="RF13" s="2"/>
      <c r="RG13" s="2"/>
      <c r="RH13" s="2"/>
      <c r="RI13" s="2"/>
      <c r="RJ13" s="2"/>
      <c r="RK13" s="2"/>
      <c r="RL13" s="2"/>
      <c r="RM13" s="2"/>
      <c r="RN13" s="2"/>
      <c r="RO13" s="2"/>
      <c r="RP13" s="2"/>
      <c r="RQ13" s="2"/>
      <c r="RR13" s="2"/>
      <c r="RS13" s="2"/>
      <c r="RT13" s="2"/>
      <c r="RU13" s="2"/>
      <c r="RV13" s="2"/>
      <c r="RW13" s="2"/>
      <c r="RX13" s="2"/>
      <c r="RY13" s="2"/>
      <c r="RZ13" s="2"/>
      <c r="SA13" s="2"/>
      <c r="SB13" s="2"/>
      <c r="SC13" s="2"/>
      <c r="SD13" s="2"/>
      <c r="SE13" s="2"/>
      <c r="SF13" s="2"/>
      <c r="SG13" s="2"/>
      <c r="SH13" s="2"/>
      <c r="SI13" s="2"/>
      <c r="SJ13" s="2"/>
      <c r="SK13" s="2"/>
      <c r="SL13" s="2"/>
      <c r="SM13" s="2"/>
      <c r="SN13" s="2"/>
      <c r="SO13" s="2"/>
      <c r="SP13" s="2"/>
      <c r="SQ13" s="2"/>
      <c r="SR13" s="2"/>
      <c r="SS13" s="2"/>
      <c r="ST13" s="2"/>
      <c r="SU13" s="2"/>
      <c r="SV13" s="2"/>
      <c r="SW13" s="2"/>
      <c r="SX13" s="2"/>
      <c r="SY13" s="2"/>
      <c r="SZ13" s="2"/>
      <c r="TA13" s="2"/>
      <c r="TB13" s="2"/>
      <c r="TC13" s="2"/>
      <c r="TD13" s="2"/>
      <c r="TE13" s="2"/>
      <c r="TF13" s="2"/>
      <c r="TG13" s="2"/>
      <c r="TH13" s="2"/>
      <c r="TI13" s="2"/>
      <c r="TJ13" s="2"/>
      <c r="TK13" s="2"/>
      <c r="TL13" s="2"/>
      <c r="TM13" s="2"/>
      <c r="TN13" s="2"/>
      <c r="TO13" s="2"/>
      <c r="TP13" s="2"/>
      <c r="TQ13" s="2"/>
      <c r="TR13" s="2"/>
      <c r="TS13" s="2"/>
      <c r="TT13" s="2"/>
      <c r="TU13" s="2"/>
      <c r="TV13" s="2"/>
      <c r="TW13" s="2"/>
      <c r="TX13" s="2"/>
      <c r="TY13" s="2"/>
      <c r="TZ13" s="2"/>
      <c r="UA13" s="2"/>
      <c r="UB13" s="2"/>
      <c r="UC13" s="2"/>
      <c r="UD13" s="2"/>
      <c r="UE13" s="2"/>
      <c r="UF13" s="2"/>
      <c r="UG13" s="2"/>
      <c r="UH13" s="2"/>
      <c r="UI13" s="2"/>
      <c r="UJ13" s="2"/>
      <c r="UK13" s="2"/>
      <c r="UL13" s="2"/>
      <c r="UM13" s="2"/>
      <c r="UN13" s="2"/>
      <c r="UO13" s="2"/>
      <c r="UP13" s="2"/>
      <c r="UQ13" s="2"/>
      <c r="UR13" s="2"/>
      <c r="US13" s="2"/>
      <c r="UT13" s="2"/>
      <c r="UU13" s="2"/>
      <c r="UV13" s="2"/>
      <c r="UW13" s="2"/>
      <c r="UX13" s="2"/>
      <c r="UY13" s="2"/>
      <c r="UZ13" s="2"/>
      <c r="VA13" s="2"/>
      <c r="VB13" s="2"/>
      <c r="VC13" s="2"/>
      <c r="VD13" s="2"/>
      <c r="VE13" s="2"/>
      <c r="VF13" s="2"/>
      <c r="VG13" s="2"/>
      <c r="VH13" s="2"/>
      <c r="VI13" s="2"/>
      <c r="VJ13" s="2"/>
      <c r="VK13" s="2"/>
      <c r="VL13" s="2"/>
      <c r="VM13" s="2"/>
      <c r="VN13" s="2"/>
      <c r="VO13" s="2"/>
      <c r="VP13" s="2"/>
      <c r="VQ13" s="2"/>
      <c r="VR13" s="2"/>
      <c r="VS13" s="2"/>
      <c r="VT13" s="2"/>
      <c r="VU13" s="2"/>
      <c r="VV13" s="2"/>
      <c r="VW13" s="2"/>
      <c r="VX13" s="2"/>
      <c r="VY13" s="2"/>
      <c r="VZ13" s="2"/>
      <c r="WA13" s="2"/>
      <c r="WB13" s="2"/>
      <c r="WC13" s="2"/>
      <c r="WD13" s="2"/>
      <c r="WE13" s="2"/>
      <c r="WF13" s="2"/>
      <c r="WG13" s="2"/>
      <c r="WH13" s="2"/>
      <c r="WI13" s="2"/>
      <c r="WJ13" s="2"/>
      <c r="WK13" s="2"/>
      <c r="WL13" s="2"/>
      <c r="WM13" s="2"/>
      <c r="WN13" s="2"/>
      <c r="WO13" s="2"/>
      <c r="WP13" s="2"/>
      <c r="WQ13" s="2"/>
      <c r="WR13" s="2"/>
      <c r="WS13" s="2"/>
      <c r="WT13" s="2"/>
      <c r="WU13" s="2"/>
      <c r="WV13" s="2"/>
      <c r="WW13" s="2"/>
      <c r="WX13" s="2"/>
      <c r="WY13" s="2"/>
      <c r="WZ13" s="2"/>
      <c r="XA13" s="2"/>
      <c r="XB13" s="2"/>
      <c r="XC13" s="2"/>
      <c r="XD13" s="2"/>
      <c r="XE13" s="2"/>
      <c r="XF13" s="2"/>
      <c r="XG13" s="2"/>
      <c r="XH13" s="2"/>
      <c r="XI13" s="2"/>
      <c r="XJ13" s="2"/>
      <c r="XK13" s="2"/>
      <c r="XL13" s="2"/>
      <c r="XM13" s="2"/>
      <c r="XN13" s="2"/>
      <c r="XO13" s="2"/>
      <c r="XP13" s="2"/>
      <c r="XQ13" s="2"/>
      <c r="XR13" s="2"/>
      <c r="XS13" s="2"/>
      <c r="XT13" s="2"/>
      <c r="XU13" s="2"/>
      <c r="XV13" s="2"/>
      <c r="XW13" s="2"/>
      <c r="XX13" s="2"/>
      <c r="XY13" s="2"/>
      <c r="XZ13" s="2"/>
      <c r="YA13" s="2"/>
      <c r="YB13" s="2"/>
      <c r="YC13" s="2"/>
      <c r="YD13" s="2"/>
      <c r="YE13" s="2"/>
      <c r="YF13" s="2"/>
      <c r="YG13" s="2"/>
      <c r="YH13" s="2"/>
      <c r="YI13" s="2"/>
      <c r="YJ13" s="2"/>
      <c r="YK13" s="2"/>
      <c r="YL13" s="2"/>
      <c r="YM13" s="2"/>
      <c r="YN13" s="2"/>
      <c r="YO13" s="2"/>
      <c r="YP13" s="2"/>
      <c r="YQ13" s="2"/>
      <c r="YR13" s="2"/>
      <c r="YS13" s="2"/>
      <c r="YT13" s="2"/>
      <c r="YU13" s="2"/>
      <c r="YV13" s="2"/>
      <c r="YW13" s="2"/>
      <c r="YX13" s="2"/>
      <c r="YY13" s="2"/>
      <c r="YZ13" s="2"/>
      <c r="ZA13" s="2"/>
      <c r="ZB13" s="2"/>
      <c r="ZC13" s="2"/>
      <c r="ZD13" s="2"/>
      <c r="ZE13" s="2"/>
      <c r="ZF13" s="2"/>
      <c r="ZG13" s="2"/>
      <c r="ZH13" s="2"/>
      <c r="ZI13" s="2"/>
      <c r="ZJ13" s="2"/>
      <c r="ZK13" s="2"/>
      <c r="ZL13" s="2"/>
      <c r="ZM13" s="2"/>
      <c r="ZN13" s="2"/>
      <c r="ZO13" s="2"/>
      <c r="ZP13" s="2"/>
      <c r="ZQ13" s="2"/>
      <c r="ZR13" s="2"/>
      <c r="ZS13" s="2"/>
      <c r="ZT13" s="2"/>
      <c r="ZU13" s="2"/>
      <c r="ZV13" s="2"/>
      <c r="ZW13" s="2"/>
      <c r="ZX13" s="2"/>
      <c r="ZY13" s="2"/>
      <c r="ZZ13" s="2"/>
      <c r="AAA13" s="2"/>
      <c r="AAB13" s="2"/>
      <c r="AAC13" s="2"/>
      <c r="AAD13" s="2"/>
      <c r="AAE13" s="2"/>
      <c r="AAF13" s="2"/>
      <c r="AAG13" s="2"/>
      <c r="AAH13" s="2"/>
      <c r="AAI13" s="2"/>
      <c r="AAJ13" s="2"/>
      <c r="AAK13" s="2"/>
      <c r="AAL13" s="2"/>
      <c r="AAM13" s="2"/>
      <c r="AAN13" s="2"/>
      <c r="AAO13" s="2"/>
      <c r="AAP13" s="2"/>
      <c r="AAQ13" s="2"/>
      <c r="AAR13" s="2"/>
      <c r="AAS13" s="2"/>
      <c r="AAT13" s="2"/>
      <c r="AAU13" s="2"/>
      <c r="AAV13" s="2"/>
      <c r="AAW13" s="2"/>
      <c r="AAX13" s="2"/>
      <c r="AAY13" s="2"/>
      <c r="AAZ13" s="2"/>
      <c r="ABA13" s="2"/>
      <c r="ABB13" s="2"/>
      <c r="ABC13" s="2"/>
      <c r="ABD13" s="2"/>
      <c r="ABE13" s="2"/>
      <c r="ABF13" s="2"/>
      <c r="ABG13" s="2"/>
      <c r="ABH13" s="2"/>
      <c r="ABI13" s="2"/>
      <c r="ABJ13" s="2"/>
      <c r="ABK13" s="2"/>
      <c r="ABL13" s="2"/>
      <c r="ABM13" s="2"/>
      <c r="ABN13" s="2"/>
      <c r="ABO13" s="2"/>
      <c r="ABP13" s="2"/>
      <c r="ABQ13" s="2"/>
      <c r="ABR13" s="2"/>
      <c r="ABS13" s="2"/>
      <c r="ABT13" s="2"/>
      <c r="ABU13" s="2"/>
      <c r="ABV13" s="2"/>
      <c r="ABW13" s="2"/>
      <c r="ABX13" s="2"/>
      <c r="ABY13" s="2"/>
      <c r="ABZ13" s="2"/>
      <c r="ACA13" s="2"/>
      <c r="ACB13" s="2"/>
      <c r="ACC13" s="2"/>
      <c r="ACD13" s="2"/>
      <c r="ACE13" s="2"/>
      <c r="ACF13" s="2"/>
      <c r="ACG13" s="2"/>
      <c r="ACH13" s="2"/>
      <c r="ACI13" s="2"/>
      <c r="ACJ13" s="2"/>
      <c r="ACK13" s="2"/>
      <c r="ACL13" s="2"/>
      <c r="ACM13" s="2"/>
      <c r="ACN13" s="2"/>
      <c r="ACO13" s="2"/>
      <c r="ACP13" s="2"/>
      <c r="ACQ13" s="2"/>
      <c r="ACR13" s="2"/>
      <c r="ACS13" s="2"/>
      <c r="ACT13" s="2"/>
      <c r="ACU13" s="2"/>
      <c r="ACV13" s="2"/>
      <c r="ACW13" s="2"/>
      <c r="ACX13" s="2"/>
      <c r="ACY13" s="2"/>
      <c r="ACZ13" s="2"/>
      <c r="ADA13" s="2"/>
      <c r="ADB13" s="2"/>
      <c r="ADC13" s="2"/>
      <c r="ADD13" s="2"/>
      <c r="ADE13" s="2"/>
      <c r="ADF13" s="2"/>
      <c r="ADG13" s="2"/>
      <c r="ADH13" s="2"/>
      <c r="ADI13" s="2"/>
      <c r="ADJ13" s="2"/>
      <c r="ADK13" s="2"/>
      <c r="ADL13" s="2"/>
      <c r="ADM13" s="2"/>
      <c r="ADN13" s="2"/>
      <c r="ADO13" s="2"/>
      <c r="ADP13" s="2"/>
      <c r="ADQ13" s="2"/>
      <c r="ADR13" s="2"/>
      <c r="ADS13" s="2"/>
      <c r="ADT13" s="2"/>
      <c r="ADU13" s="2"/>
      <c r="ADV13" s="2"/>
      <c r="ADW13" s="2"/>
      <c r="ADX13" s="2"/>
      <c r="ADY13" s="2"/>
      <c r="ADZ13" s="2"/>
      <c r="AEA13" s="2"/>
      <c r="AEB13" s="2"/>
      <c r="AEC13" s="2"/>
      <c r="AED13" s="2"/>
      <c r="AEE13" s="2"/>
      <c r="AEF13" s="2"/>
      <c r="AEG13" s="2"/>
      <c r="AEH13" s="2"/>
      <c r="AEI13" s="2"/>
      <c r="AEJ13" s="2"/>
      <c r="AEK13" s="2"/>
      <c r="AEL13" s="2"/>
      <c r="AEM13" s="2"/>
      <c r="AEN13" s="2"/>
      <c r="AEO13" s="2"/>
      <c r="AEP13" s="2"/>
      <c r="AEQ13" s="2"/>
      <c r="AER13" s="2"/>
      <c r="AES13" s="2"/>
      <c r="AET13" s="2"/>
      <c r="AEU13" s="2"/>
      <c r="AEV13" s="2"/>
      <c r="AEW13" s="2"/>
      <c r="AEX13" s="2"/>
      <c r="AEY13" s="2"/>
      <c r="AEZ13" s="2"/>
      <c r="AFA13" s="2"/>
      <c r="AFB13" s="2"/>
      <c r="AFC13" s="2"/>
      <c r="AFD13" s="2"/>
      <c r="AFE13" s="2"/>
      <c r="AFF13" s="2"/>
      <c r="AFG13" s="2"/>
      <c r="AFH13" s="2"/>
      <c r="AFI13" s="2"/>
      <c r="AFJ13" s="2"/>
      <c r="AFK13" s="2"/>
      <c r="AFL13" s="2"/>
      <c r="AFM13" s="2"/>
      <c r="AFN13" s="2"/>
      <c r="AFO13" s="2"/>
      <c r="AFP13" s="2"/>
      <c r="AFQ13" s="2"/>
      <c r="AFR13" s="2"/>
      <c r="AFS13" s="2"/>
      <c r="AFT13" s="2"/>
      <c r="AFU13" s="2"/>
      <c r="AFV13" s="2"/>
      <c r="AFW13" s="2"/>
      <c r="AFX13" s="2"/>
      <c r="AFY13" s="2"/>
      <c r="AFZ13" s="2"/>
      <c r="AGA13" s="2"/>
      <c r="AGB13" s="2"/>
      <c r="AGC13" s="2"/>
      <c r="AGD13" s="2"/>
      <c r="AGE13" s="2"/>
      <c r="AGF13" s="2"/>
      <c r="AGG13" s="2"/>
      <c r="AGH13" s="2"/>
      <c r="AGI13" s="2"/>
      <c r="AGJ13" s="2"/>
      <c r="AGK13" s="2"/>
      <c r="AGL13" s="2"/>
      <c r="AGM13" s="2"/>
      <c r="AGN13" s="2"/>
      <c r="AGO13" s="2"/>
      <c r="AGP13" s="2"/>
      <c r="AGQ13" s="2"/>
      <c r="AGR13" s="2"/>
      <c r="AGS13" s="2"/>
      <c r="AGT13" s="2"/>
      <c r="AGU13" s="2"/>
      <c r="AGV13" s="2"/>
      <c r="AGW13" s="2"/>
      <c r="AGX13" s="2"/>
      <c r="AGY13" s="2"/>
      <c r="AGZ13" s="2"/>
      <c r="AHA13" s="2"/>
      <c r="AHB13" s="2"/>
      <c r="AHC13" s="2"/>
      <c r="AHD13" s="2"/>
      <c r="AHE13" s="2"/>
      <c r="AHF13" s="2"/>
      <c r="AHG13" s="2"/>
      <c r="AHH13" s="2"/>
      <c r="AHI13" s="2"/>
      <c r="AHJ13" s="2"/>
      <c r="AHK13" s="2"/>
      <c r="AHL13" s="2"/>
      <c r="AHM13" s="2"/>
      <c r="AHN13" s="2"/>
      <c r="AHO13" s="2"/>
      <c r="AHP13" s="2"/>
      <c r="AHQ13" s="2"/>
      <c r="AHR13" s="2"/>
      <c r="AHS13" s="2"/>
      <c r="AHT13" s="2"/>
      <c r="AHU13" s="2"/>
      <c r="AHV13" s="2"/>
      <c r="AHW13" s="2"/>
      <c r="AHX13" s="2"/>
      <c r="AHY13" s="2"/>
      <c r="AHZ13" s="2"/>
      <c r="AIA13" s="2"/>
      <c r="AIB13" s="2"/>
      <c r="AIC13" s="2"/>
      <c r="AID13" s="2"/>
      <c r="AIE13" s="2"/>
      <c r="AIF13" s="2"/>
      <c r="AIG13" s="2"/>
      <c r="AIH13" s="2"/>
      <c r="AII13" s="2"/>
      <c r="AIJ13" s="2"/>
      <c r="AIK13" s="2"/>
      <c r="AIL13" s="2"/>
      <c r="AIM13" s="2"/>
      <c r="AIN13" s="2"/>
      <c r="AIO13" s="2"/>
      <c r="AIP13" s="2"/>
      <c r="AIQ13" s="2"/>
      <c r="AIR13" s="2"/>
      <c r="AIS13" s="2"/>
      <c r="AIT13" s="2"/>
      <c r="AIU13" s="2"/>
      <c r="AIV13" s="2"/>
      <c r="AIW13" s="2"/>
      <c r="AIX13" s="2"/>
      <c r="AIY13" s="2"/>
      <c r="AIZ13" s="2"/>
      <c r="AJA13" s="2"/>
      <c r="AJB13" s="2"/>
      <c r="AJC13" s="2"/>
      <c r="AJD13" s="2"/>
      <c r="AJE13" s="2"/>
      <c r="AJF13" s="2"/>
      <c r="AJG13" s="2"/>
      <c r="AJH13" s="2"/>
      <c r="AJI13" s="2"/>
      <c r="AJJ13" s="2"/>
      <c r="AJK13" s="2"/>
      <c r="AJL13" s="2"/>
      <c r="AJM13" s="2"/>
      <c r="AJN13" s="2"/>
      <c r="AJO13" s="2"/>
      <c r="AJP13" s="2"/>
      <c r="AJQ13" s="2"/>
      <c r="AJR13" s="2"/>
      <c r="AJS13" s="2"/>
      <c r="AJT13" s="2"/>
      <c r="AJU13" s="2"/>
      <c r="AJV13" s="2"/>
      <c r="AJW13" s="2"/>
      <c r="AJX13" s="2"/>
      <c r="AJY13" s="2"/>
      <c r="AJZ13" s="2"/>
      <c r="AKA13" s="2"/>
    </row>
    <row r="14" spans="1:963">
      <c r="A14" s="16">
        <v>13</v>
      </c>
      <c r="B14" s="2">
        <v>4</v>
      </c>
      <c r="C14" s="7">
        <v>11.85</v>
      </c>
      <c r="D14" s="7">
        <v>9.67</v>
      </c>
      <c r="E14" s="7">
        <v>1.4</v>
      </c>
      <c r="F14" s="7">
        <v>0.77</v>
      </c>
      <c r="G14" s="7">
        <v>264</v>
      </c>
      <c r="H14" s="9">
        <f t="shared" si="3"/>
        <v>6.9071428571428575</v>
      </c>
      <c r="I14" s="9">
        <f t="shared" si="0"/>
        <v>0.55000000000000004</v>
      </c>
      <c r="J14" s="9">
        <f t="shared" si="1"/>
        <v>188.57142857142858</v>
      </c>
      <c r="K14" s="9">
        <f t="shared" si="2"/>
        <v>1823.4857142857145</v>
      </c>
      <c r="L14" s="16"/>
      <c r="M14" s="16"/>
      <c r="N14" s="16"/>
      <c r="O14" s="9">
        <v>11.85</v>
      </c>
      <c r="P14" s="9">
        <v>9.67</v>
      </c>
      <c r="Q14" s="9">
        <v>1.4</v>
      </c>
      <c r="R14" s="9">
        <v>0.77</v>
      </c>
      <c r="S14" s="9">
        <v>0.23</v>
      </c>
      <c r="T14" s="9">
        <v>0</v>
      </c>
      <c r="U14" s="9">
        <v>0</v>
      </c>
      <c r="V14" s="18">
        <v>8.61</v>
      </c>
      <c r="W14" s="18">
        <v>111</v>
      </c>
      <c r="X14" s="18">
        <v>0.33</v>
      </c>
      <c r="Y14" s="18">
        <v>264</v>
      </c>
      <c r="Z14" s="18">
        <v>0.4</v>
      </c>
      <c r="AA14" s="18">
        <v>3.6999999999999998E-2</v>
      </c>
      <c r="AB14" s="18">
        <v>160.30000000000001</v>
      </c>
      <c r="AC14" s="18">
        <v>3.69</v>
      </c>
      <c r="AD14" s="18">
        <v>126.2</v>
      </c>
      <c r="AE14" s="18">
        <v>2.79</v>
      </c>
      <c r="AF14" s="18">
        <v>3.63</v>
      </c>
      <c r="AG14" s="9">
        <v>64.3</v>
      </c>
      <c r="AH14" s="9">
        <v>1351</v>
      </c>
      <c r="AI14" s="18"/>
      <c r="AJ14" s="18"/>
      <c r="AK14" s="18"/>
      <c r="AL14" s="18"/>
      <c r="AM14" s="26"/>
      <c r="AN14" s="26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  <c r="JC14" s="2"/>
      <c r="JD14" s="2"/>
      <c r="JE14" s="2"/>
      <c r="JF14" s="2"/>
      <c r="JG14" s="2"/>
      <c r="JH14" s="2"/>
      <c r="JI14" s="2"/>
      <c r="JJ14" s="2"/>
      <c r="JK14" s="2"/>
      <c r="JL14" s="2"/>
      <c r="JM14" s="2"/>
      <c r="JN14" s="2"/>
      <c r="JO14" s="2"/>
      <c r="JP14" s="2"/>
      <c r="JQ14" s="2"/>
      <c r="JR14" s="2"/>
      <c r="JS14" s="2"/>
      <c r="JT14" s="2"/>
      <c r="JU14" s="2"/>
      <c r="JV14" s="2"/>
      <c r="JW14" s="2"/>
      <c r="JX14" s="2"/>
      <c r="JY14" s="2"/>
      <c r="JZ14" s="2"/>
      <c r="KA14" s="2"/>
      <c r="KB14" s="2"/>
      <c r="KC14" s="2"/>
      <c r="KD14" s="2"/>
      <c r="KE14" s="2"/>
      <c r="KF14" s="2"/>
      <c r="KG14" s="2"/>
      <c r="KH14" s="2"/>
      <c r="KI14" s="2"/>
      <c r="KJ14" s="2"/>
      <c r="KK14" s="2"/>
      <c r="KL14" s="2"/>
      <c r="KM14" s="2"/>
      <c r="KN14" s="2"/>
      <c r="KO14" s="2"/>
      <c r="KP14" s="2"/>
      <c r="KQ14" s="2"/>
      <c r="KR14" s="2"/>
      <c r="KS14" s="2"/>
      <c r="KT14" s="2"/>
      <c r="KU14" s="2"/>
      <c r="KV14" s="2"/>
      <c r="KW14" s="2"/>
      <c r="KX14" s="2"/>
      <c r="KY14" s="2"/>
      <c r="KZ14" s="2"/>
      <c r="LA14" s="2"/>
      <c r="LB14" s="2"/>
      <c r="LC14" s="2"/>
      <c r="LD14" s="2"/>
      <c r="LE14" s="2"/>
      <c r="LF14" s="2"/>
      <c r="LG14" s="2"/>
      <c r="LH14" s="2"/>
      <c r="LI14" s="2"/>
      <c r="LJ14" s="2"/>
      <c r="LK14" s="2"/>
      <c r="LL14" s="2"/>
      <c r="LM14" s="2"/>
      <c r="LN14" s="2"/>
      <c r="LO14" s="2"/>
      <c r="LP14" s="2"/>
      <c r="LQ14" s="2"/>
      <c r="LR14" s="2"/>
      <c r="LS14" s="2"/>
      <c r="LT14" s="2"/>
      <c r="LU14" s="2"/>
      <c r="LV14" s="2"/>
      <c r="LW14" s="2"/>
      <c r="LX14" s="2"/>
      <c r="LY14" s="2"/>
      <c r="LZ14" s="2"/>
      <c r="MA14" s="2"/>
      <c r="MB14" s="2"/>
      <c r="MC14" s="2"/>
      <c r="MD14" s="2"/>
      <c r="ME14" s="2"/>
      <c r="MF14" s="2"/>
      <c r="MG14" s="2"/>
      <c r="MH14" s="2"/>
      <c r="MI14" s="2"/>
      <c r="MJ14" s="2"/>
      <c r="MK14" s="2"/>
      <c r="ML14" s="2"/>
      <c r="MM14" s="2"/>
      <c r="MN14" s="2"/>
      <c r="MO14" s="2"/>
      <c r="MP14" s="2"/>
      <c r="MQ14" s="2"/>
      <c r="MR14" s="2"/>
      <c r="MS14" s="2"/>
      <c r="MT14" s="2"/>
      <c r="MU14" s="2"/>
      <c r="MV14" s="2"/>
      <c r="MW14" s="2"/>
      <c r="MX14" s="2"/>
      <c r="MY14" s="2"/>
      <c r="MZ14" s="2"/>
      <c r="NA14" s="2"/>
      <c r="NB14" s="2"/>
      <c r="NC14" s="2"/>
      <c r="ND14" s="2"/>
      <c r="NE14" s="2"/>
      <c r="NF14" s="2"/>
      <c r="NG14" s="2"/>
      <c r="NH14" s="2"/>
      <c r="NI14" s="2"/>
      <c r="NJ14" s="2"/>
      <c r="NK14" s="2"/>
      <c r="NL14" s="2"/>
      <c r="NM14" s="2"/>
      <c r="NN14" s="2"/>
      <c r="NO14" s="2"/>
      <c r="NP14" s="2"/>
      <c r="NQ14" s="2"/>
      <c r="NR14" s="2"/>
      <c r="NS14" s="2"/>
      <c r="NT14" s="2"/>
      <c r="NU14" s="2"/>
      <c r="NV14" s="2"/>
      <c r="NW14" s="2"/>
      <c r="NX14" s="2"/>
      <c r="NY14" s="2"/>
      <c r="NZ14" s="2"/>
      <c r="OA14" s="2"/>
      <c r="OB14" s="2"/>
      <c r="OC14" s="2"/>
      <c r="OD14" s="2"/>
      <c r="OE14" s="2"/>
      <c r="OF14" s="2"/>
      <c r="OG14" s="2"/>
      <c r="OH14" s="2"/>
      <c r="OI14" s="2"/>
      <c r="OJ14" s="2"/>
      <c r="OK14" s="2"/>
      <c r="OL14" s="2"/>
      <c r="OM14" s="2"/>
      <c r="ON14" s="2"/>
      <c r="OO14" s="2"/>
      <c r="OP14" s="2"/>
      <c r="OQ14" s="2"/>
      <c r="OR14" s="2"/>
      <c r="OS14" s="2"/>
      <c r="OT14" s="2"/>
      <c r="OU14" s="2"/>
      <c r="OV14" s="2"/>
      <c r="OW14" s="2"/>
      <c r="OX14" s="2"/>
      <c r="OY14" s="2"/>
      <c r="OZ14" s="2"/>
      <c r="PA14" s="2"/>
      <c r="PB14" s="2"/>
      <c r="PC14" s="2"/>
      <c r="PD14" s="2"/>
      <c r="PE14" s="2"/>
      <c r="PF14" s="2"/>
      <c r="PG14" s="2"/>
      <c r="PH14" s="2"/>
      <c r="PI14" s="2"/>
      <c r="PJ14" s="2"/>
      <c r="PK14" s="2"/>
      <c r="PL14" s="2"/>
      <c r="PM14" s="2"/>
      <c r="PN14" s="2"/>
      <c r="PO14" s="2"/>
      <c r="PP14" s="2"/>
      <c r="PQ14" s="2"/>
      <c r="PR14" s="2"/>
      <c r="PS14" s="2"/>
      <c r="PT14" s="2"/>
      <c r="PU14" s="2"/>
      <c r="PV14" s="2"/>
      <c r="PW14" s="2"/>
      <c r="PX14" s="2"/>
      <c r="PY14" s="2"/>
      <c r="PZ14" s="2"/>
      <c r="QA14" s="2"/>
      <c r="QB14" s="2"/>
      <c r="QC14" s="2"/>
      <c r="QD14" s="2"/>
      <c r="QE14" s="2"/>
      <c r="QF14" s="2"/>
      <c r="QG14" s="2"/>
      <c r="QH14" s="2"/>
      <c r="QI14" s="2"/>
      <c r="QJ14" s="2"/>
      <c r="QK14" s="2"/>
      <c r="QL14" s="2"/>
      <c r="QM14" s="2"/>
      <c r="QN14" s="2"/>
      <c r="QO14" s="2"/>
      <c r="QP14" s="2"/>
      <c r="QQ14" s="2"/>
      <c r="QR14" s="2"/>
      <c r="QS14" s="2"/>
      <c r="QT14" s="2"/>
      <c r="QU14" s="2"/>
      <c r="QV14" s="2"/>
      <c r="QW14" s="2"/>
      <c r="QX14" s="2"/>
      <c r="QY14" s="2"/>
      <c r="QZ14" s="2"/>
      <c r="RA14" s="2"/>
      <c r="RB14" s="2"/>
      <c r="RC14" s="2"/>
      <c r="RD14" s="2"/>
      <c r="RE14" s="2"/>
      <c r="RF14" s="2"/>
      <c r="RG14" s="2"/>
      <c r="RH14" s="2"/>
      <c r="RI14" s="2"/>
      <c r="RJ14" s="2"/>
      <c r="RK14" s="2"/>
      <c r="RL14" s="2"/>
      <c r="RM14" s="2"/>
      <c r="RN14" s="2"/>
      <c r="RO14" s="2"/>
      <c r="RP14" s="2"/>
      <c r="RQ14" s="2"/>
      <c r="RR14" s="2"/>
      <c r="RS14" s="2"/>
      <c r="RT14" s="2"/>
      <c r="RU14" s="2"/>
      <c r="RV14" s="2"/>
      <c r="RW14" s="2"/>
      <c r="RX14" s="2"/>
      <c r="RY14" s="2"/>
      <c r="RZ14" s="2"/>
      <c r="SA14" s="2"/>
      <c r="SB14" s="2"/>
      <c r="SC14" s="2"/>
      <c r="SD14" s="2"/>
      <c r="SE14" s="2"/>
      <c r="SF14" s="2"/>
      <c r="SG14" s="2"/>
      <c r="SH14" s="2"/>
      <c r="SI14" s="2"/>
      <c r="SJ14" s="2"/>
      <c r="SK14" s="2"/>
      <c r="SL14" s="2"/>
      <c r="SM14" s="2"/>
      <c r="SN14" s="2"/>
      <c r="SO14" s="2"/>
      <c r="SP14" s="2"/>
      <c r="SQ14" s="2"/>
      <c r="SR14" s="2"/>
      <c r="SS14" s="2"/>
      <c r="ST14" s="2"/>
      <c r="SU14" s="2"/>
      <c r="SV14" s="2"/>
      <c r="SW14" s="2"/>
      <c r="SX14" s="2"/>
      <c r="SY14" s="2"/>
      <c r="SZ14" s="2"/>
      <c r="TA14" s="2"/>
      <c r="TB14" s="2"/>
      <c r="TC14" s="2"/>
      <c r="TD14" s="2"/>
      <c r="TE14" s="2"/>
      <c r="TF14" s="2"/>
      <c r="TG14" s="2"/>
      <c r="TH14" s="2"/>
      <c r="TI14" s="2"/>
      <c r="TJ14" s="2"/>
      <c r="TK14" s="2"/>
      <c r="TL14" s="2"/>
      <c r="TM14" s="2"/>
      <c r="TN14" s="2"/>
      <c r="TO14" s="2"/>
      <c r="TP14" s="2"/>
      <c r="TQ14" s="2"/>
      <c r="TR14" s="2"/>
      <c r="TS14" s="2"/>
      <c r="TT14" s="2"/>
      <c r="TU14" s="2"/>
      <c r="TV14" s="2"/>
      <c r="TW14" s="2"/>
      <c r="TX14" s="2"/>
      <c r="TY14" s="2"/>
      <c r="TZ14" s="2"/>
      <c r="UA14" s="2"/>
      <c r="UB14" s="2"/>
      <c r="UC14" s="2"/>
      <c r="UD14" s="2"/>
      <c r="UE14" s="2"/>
      <c r="UF14" s="2"/>
      <c r="UG14" s="2"/>
      <c r="UH14" s="2"/>
      <c r="UI14" s="2"/>
      <c r="UJ14" s="2"/>
      <c r="UK14" s="2"/>
      <c r="UL14" s="2"/>
      <c r="UM14" s="2"/>
      <c r="UN14" s="2"/>
      <c r="UO14" s="2"/>
      <c r="UP14" s="2"/>
      <c r="UQ14" s="2"/>
      <c r="UR14" s="2"/>
      <c r="US14" s="2"/>
      <c r="UT14" s="2"/>
      <c r="UU14" s="2"/>
      <c r="UV14" s="2"/>
      <c r="UW14" s="2"/>
      <c r="UX14" s="2"/>
      <c r="UY14" s="2"/>
      <c r="UZ14" s="2"/>
      <c r="VA14" s="2"/>
      <c r="VB14" s="2"/>
      <c r="VC14" s="2"/>
      <c r="VD14" s="2"/>
      <c r="VE14" s="2"/>
      <c r="VF14" s="2"/>
      <c r="VG14" s="2"/>
      <c r="VH14" s="2"/>
      <c r="VI14" s="2"/>
      <c r="VJ14" s="2"/>
      <c r="VK14" s="2"/>
      <c r="VL14" s="2"/>
      <c r="VM14" s="2"/>
      <c r="VN14" s="2"/>
      <c r="VO14" s="2"/>
      <c r="VP14" s="2"/>
      <c r="VQ14" s="2"/>
      <c r="VR14" s="2"/>
      <c r="VS14" s="2"/>
      <c r="VT14" s="2"/>
      <c r="VU14" s="2"/>
      <c r="VV14" s="2"/>
      <c r="VW14" s="2"/>
      <c r="VX14" s="2"/>
      <c r="VY14" s="2"/>
      <c r="VZ14" s="2"/>
      <c r="WA14" s="2"/>
      <c r="WB14" s="2"/>
      <c r="WC14" s="2"/>
      <c r="WD14" s="2"/>
      <c r="WE14" s="2"/>
      <c r="WF14" s="2"/>
      <c r="WG14" s="2"/>
      <c r="WH14" s="2"/>
      <c r="WI14" s="2"/>
      <c r="WJ14" s="2"/>
      <c r="WK14" s="2"/>
      <c r="WL14" s="2"/>
      <c r="WM14" s="2"/>
      <c r="WN14" s="2"/>
      <c r="WO14" s="2"/>
      <c r="WP14" s="2"/>
      <c r="WQ14" s="2"/>
      <c r="WR14" s="2"/>
      <c r="WS14" s="2"/>
      <c r="WT14" s="2"/>
      <c r="WU14" s="2"/>
      <c r="WV14" s="2"/>
      <c r="WW14" s="2"/>
      <c r="WX14" s="2"/>
      <c r="WY14" s="2"/>
      <c r="WZ14" s="2"/>
      <c r="XA14" s="2"/>
      <c r="XB14" s="2"/>
      <c r="XC14" s="2"/>
      <c r="XD14" s="2"/>
      <c r="XE14" s="2"/>
      <c r="XF14" s="2"/>
      <c r="XG14" s="2"/>
      <c r="XH14" s="2"/>
      <c r="XI14" s="2"/>
      <c r="XJ14" s="2"/>
      <c r="XK14" s="2"/>
      <c r="XL14" s="2"/>
      <c r="XM14" s="2"/>
      <c r="XN14" s="2"/>
      <c r="XO14" s="2"/>
      <c r="XP14" s="2"/>
      <c r="XQ14" s="2"/>
      <c r="XR14" s="2"/>
      <c r="XS14" s="2"/>
      <c r="XT14" s="2"/>
      <c r="XU14" s="2"/>
      <c r="XV14" s="2"/>
      <c r="XW14" s="2"/>
      <c r="XX14" s="2"/>
      <c r="XY14" s="2"/>
      <c r="XZ14" s="2"/>
      <c r="YA14" s="2"/>
      <c r="YB14" s="2"/>
      <c r="YC14" s="2"/>
      <c r="YD14" s="2"/>
      <c r="YE14" s="2"/>
      <c r="YF14" s="2"/>
      <c r="YG14" s="2"/>
      <c r="YH14" s="2"/>
      <c r="YI14" s="2"/>
      <c r="YJ14" s="2"/>
      <c r="YK14" s="2"/>
      <c r="YL14" s="2"/>
      <c r="YM14" s="2"/>
      <c r="YN14" s="2"/>
      <c r="YO14" s="2"/>
      <c r="YP14" s="2"/>
      <c r="YQ14" s="2"/>
      <c r="YR14" s="2"/>
      <c r="YS14" s="2"/>
      <c r="YT14" s="2"/>
      <c r="YU14" s="2"/>
      <c r="YV14" s="2"/>
      <c r="YW14" s="2"/>
      <c r="YX14" s="2"/>
      <c r="YY14" s="2"/>
      <c r="YZ14" s="2"/>
      <c r="ZA14" s="2"/>
      <c r="ZB14" s="2"/>
      <c r="ZC14" s="2"/>
      <c r="ZD14" s="2"/>
      <c r="ZE14" s="2"/>
      <c r="ZF14" s="2"/>
      <c r="ZG14" s="2"/>
      <c r="ZH14" s="2"/>
      <c r="ZI14" s="2"/>
      <c r="ZJ14" s="2"/>
      <c r="ZK14" s="2"/>
      <c r="ZL14" s="2"/>
      <c r="ZM14" s="2"/>
      <c r="ZN14" s="2"/>
      <c r="ZO14" s="2"/>
      <c r="ZP14" s="2"/>
      <c r="ZQ14" s="2"/>
      <c r="ZR14" s="2"/>
      <c r="ZS14" s="2"/>
      <c r="ZT14" s="2"/>
      <c r="ZU14" s="2"/>
      <c r="ZV14" s="2"/>
      <c r="ZW14" s="2"/>
      <c r="ZX14" s="2"/>
      <c r="ZY14" s="2"/>
      <c r="ZZ14" s="2"/>
      <c r="AAA14" s="2"/>
      <c r="AAB14" s="2"/>
      <c r="AAC14" s="2"/>
      <c r="AAD14" s="2"/>
      <c r="AAE14" s="2"/>
      <c r="AAF14" s="2"/>
      <c r="AAG14" s="2"/>
      <c r="AAH14" s="2"/>
      <c r="AAI14" s="2"/>
      <c r="AAJ14" s="2"/>
      <c r="AAK14" s="2"/>
      <c r="AAL14" s="2"/>
      <c r="AAM14" s="2"/>
      <c r="AAN14" s="2"/>
      <c r="AAO14" s="2"/>
      <c r="AAP14" s="2"/>
      <c r="AAQ14" s="2"/>
      <c r="AAR14" s="2"/>
      <c r="AAS14" s="2"/>
      <c r="AAT14" s="2"/>
      <c r="AAU14" s="2"/>
      <c r="AAV14" s="2"/>
      <c r="AAW14" s="2"/>
      <c r="AAX14" s="2"/>
      <c r="AAY14" s="2"/>
      <c r="AAZ14" s="2"/>
      <c r="ABA14" s="2"/>
      <c r="ABB14" s="2"/>
      <c r="ABC14" s="2"/>
      <c r="ABD14" s="2"/>
      <c r="ABE14" s="2"/>
      <c r="ABF14" s="2"/>
      <c r="ABG14" s="2"/>
      <c r="ABH14" s="2"/>
      <c r="ABI14" s="2"/>
      <c r="ABJ14" s="2"/>
      <c r="ABK14" s="2"/>
      <c r="ABL14" s="2"/>
      <c r="ABM14" s="2"/>
      <c r="ABN14" s="2"/>
      <c r="ABO14" s="2"/>
      <c r="ABP14" s="2"/>
      <c r="ABQ14" s="2"/>
      <c r="ABR14" s="2"/>
      <c r="ABS14" s="2"/>
      <c r="ABT14" s="2"/>
      <c r="ABU14" s="2"/>
      <c r="ABV14" s="2"/>
      <c r="ABW14" s="2"/>
      <c r="ABX14" s="2"/>
      <c r="ABY14" s="2"/>
      <c r="ABZ14" s="2"/>
      <c r="ACA14" s="2"/>
      <c r="ACB14" s="2"/>
      <c r="ACC14" s="2"/>
      <c r="ACD14" s="2"/>
      <c r="ACE14" s="2"/>
      <c r="ACF14" s="2"/>
      <c r="ACG14" s="2"/>
      <c r="ACH14" s="2"/>
      <c r="ACI14" s="2"/>
      <c r="ACJ14" s="2"/>
      <c r="ACK14" s="2"/>
      <c r="ACL14" s="2"/>
      <c r="ACM14" s="2"/>
      <c r="ACN14" s="2"/>
      <c r="ACO14" s="2"/>
      <c r="ACP14" s="2"/>
      <c r="ACQ14" s="2"/>
      <c r="ACR14" s="2"/>
      <c r="ACS14" s="2"/>
      <c r="ACT14" s="2"/>
      <c r="ACU14" s="2"/>
      <c r="ACV14" s="2"/>
      <c r="ACW14" s="2"/>
      <c r="ACX14" s="2"/>
      <c r="ACY14" s="2"/>
      <c r="ACZ14" s="2"/>
      <c r="ADA14" s="2"/>
      <c r="ADB14" s="2"/>
      <c r="ADC14" s="2"/>
      <c r="ADD14" s="2"/>
      <c r="ADE14" s="2"/>
      <c r="ADF14" s="2"/>
      <c r="ADG14" s="2"/>
      <c r="ADH14" s="2"/>
      <c r="ADI14" s="2"/>
      <c r="ADJ14" s="2"/>
      <c r="ADK14" s="2"/>
      <c r="ADL14" s="2"/>
      <c r="ADM14" s="2"/>
      <c r="ADN14" s="2"/>
      <c r="ADO14" s="2"/>
      <c r="ADP14" s="2"/>
      <c r="ADQ14" s="2"/>
      <c r="ADR14" s="2"/>
      <c r="ADS14" s="2"/>
      <c r="ADT14" s="2"/>
      <c r="ADU14" s="2"/>
      <c r="ADV14" s="2"/>
      <c r="ADW14" s="2"/>
      <c r="ADX14" s="2"/>
      <c r="ADY14" s="2"/>
      <c r="ADZ14" s="2"/>
      <c r="AEA14" s="2"/>
      <c r="AEB14" s="2"/>
      <c r="AEC14" s="2"/>
      <c r="AED14" s="2"/>
      <c r="AEE14" s="2"/>
      <c r="AEF14" s="2"/>
      <c r="AEG14" s="2"/>
      <c r="AEH14" s="2"/>
      <c r="AEI14" s="2"/>
      <c r="AEJ14" s="2"/>
      <c r="AEK14" s="2"/>
      <c r="AEL14" s="2"/>
      <c r="AEM14" s="2"/>
      <c r="AEN14" s="2"/>
      <c r="AEO14" s="2"/>
      <c r="AEP14" s="2"/>
      <c r="AEQ14" s="2"/>
      <c r="AER14" s="2"/>
      <c r="AES14" s="2"/>
      <c r="AET14" s="2"/>
      <c r="AEU14" s="2"/>
      <c r="AEV14" s="2"/>
      <c r="AEW14" s="2"/>
      <c r="AEX14" s="2"/>
      <c r="AEY14" s="2"/>
      <c r="AEZ14" s="2"/>
      <c r="AFA14" s="2"/>
      <c r="AFB14" s="2"/>
      <c r="AFC14" s="2"/>
      <c r="AFD14" s="2"/>
      <c r="AFE14" s="2"/>
      <c r="AFF14" s="2"/>
      <c r="AFG14" s="2"/>
      <c r="AFH14" s="2"/>
      <c r="AFI14" s="2"/>
      <c r="AFJ14" s="2"/>
      <c r="AFK14" s="2"/>
      <c r="AFL14" s="2"/>
      <c r="AFM14" s="2"/>
      <c r="AFN14" s="2"/>
      <c r="AFO14" s="2"/>
      <c r="AFP14" s="2"/>
      <c r="AFQ14" s="2"/>
      <c r="AFR14" s="2"/>
      <c r="AFS14" s="2"/>
      <c r="AFT14" s="2"/>
      <c r="AFU14" s="2"/>
      <c r="AFV14" s="2"/>
      <c r="AFW14" s="2"/>
      <c r="AFX14" s="2"/>
      <c r="AFY14" s="2"/>
      <c r="AFZ14" s="2"/>
      <c r="AGA14" s="2"/>
      <c r="AGB14" s="2"/>
      <c r="AGC14" s="2"/>
      <c r="AGD14" s="2"/>
      <c r="AGE14" s="2"/>
      <c r="AGF14" s="2"/>
      <c r="AGG14" s="2"/>
      <c r="AGH14" s="2"/>
      <c r="AGI14" s="2"/>
      <c r="AGJ14" s="2"/>
      <c r="AGK14" s="2"/>
      <c r="AGL14" s="2"/>
      <c r="AGM14" s="2"/>
      <c r="AGN14" s="2"/>
      <c r="AGO14" s="2"/>
      <c r="AGP14" s="2"/>
      <c r="AGQ14" s="2"/>
      <c r="AGR14" s="2"/>
      <c r="AGS14" s="2"/>
      <c r="AGT14" s="2"/>
      <c r="AGU14" s="2"/>
      <c r="AGV14" s="2"/>
      <c r="AGW14" s="2"/>
      <c r="AGX14" s="2"/>
      <c r="AGY14" s="2"/>
      <c r="AGZ14" s="2"/>
      <c r="AHA14" s="2"/>
      <c r="AHB14" s="2"/>
      <c r="AHC14" s="2"/>
      <c r="AHD14" s="2"/>
      <c r="AHE14" s="2"/>
      <c r="AHF14" s="2"/>
      <c r="AHG14" s="2"/>
      <c r="AHH14" s="2"/>
      <c r="AHI14" s="2"/>
      <c r="AHJ14" s="2"/>
      <c r="AHK14" s="2"/>
      <c r="AHL14" s="2"/>
      <c r="AHM14" s="2"/>
      <c r="AHN14" s="2"/>
      <c r="AHO14" s="2"/>
      <c r="AHP14" s="2"/>
      <c r="AHQ14" s="2"/>
      <c r="AHR14" s="2"/>
      <c r="AHS14" s="2"/>
      <c r="AHT14" s="2"/>
      <c r="AHU14" s="2"/>
      <c r="AHV14" s="2"/>
      <c r="AHW14" s="2"/>
      <c r="AHX14" s="2"/>
      <c r="AHY14" s="2"/>
      <c r="AHZ14" s="2"/>
      <c r="AIA14" s="2"/>
      <c r="AIB14" s="2"/>
      <c r="AIC14" s="2"/>
      <c r="AID14" s="2"/>
      <c r="AIE14" s="2"/>
      <c r="AIF14" s="2"/>
      <c r="AIG14" s="2"/>
      <c r="AIH14" s="2"/>
      <c r="AII14" s="2"/>
      <c r="AIJ14" s="2"/>
      <c r="AIK14" s="2"/>
      <c r="AIL14" s="2"/>
      <c r="AIM14" s="2"/>
      <c r="AIN14" s="2"/>
      <c r="AIO14" s="2"/>
      <c r="AIP14" s="2"/>
      <c r="AIQ14" s="2"/>
      <c r="AIR14" s="2"/>
      <c r="AIS14" s="2"/>
      <c r="AIT14" s="2"/>
      <c r="AIU14" s="2"/>
      <c r="AIV14" s="2"/>
      <c r="AIW14" s="2"/>
      <c r="AIX14" s="2"/>
      <c r="AIY14" s="2"/>
      <c r="AIZ14" s="2"/>
      <c r="AJA14" s="2"/>
      <c r="AJB14" s="2"/>
      <c r="AJC14" s="2"/>
      <c r="AJD14" s="2"/>
      <c r="AJE14" s="2"/>
      <c r="AJF14" s="2"/>
      <c r="AJG14" s="2"/>
      <c r="AJH14" s="2"/>
      <c r="AJI14" s="2"/>
      <c r="AJJ14" s="2"/>
      <c r="AJK14" s="2"/>
      <c r="AJL14" s="2"/>
      <c r="AJM14" s="2"/>
      <c r="AJN14" s="2"/>
      <c r="AJO14" s="2"/>
      <c r="AJP14" s="2"/>
      <c r="AJQ14" s="2"/>
      <c r="AJR14" s="2"/>
      <c r="AJS14" s="2"/>
      <c r="AJT14" s="2"/>
      <c r="AJU14" s="2"/>
      <c r="AJV14" s="2"/>
      <c r="AJW14" s="2"/>
      <c r="AJX14" s="2"/>
      <c r="AJY14" s="2"/>
      <c r="AJZ14" s="2"/>
      <c r="AKA14" s="2"/>
    </row>
    <row r="15" spans="1:963">
      <c r="A15" s="7">
        <v>14</v>
      </c>
      <c r="B15" s="2">
        <v>3</v>
      </c>
      <c r="C15" s="16">
        <v>10.58</v>
      </c>
      <c r="D15" s="9">
        <v>6.93</v>
      </c>
      <c r="E15" s="9">
        <v>1.58</v>
      </c>
      <c r="F15" s="9">
        <v>1.95</v>
      </c>
      <c r="G15" s="16">
        <v>502</v>
      </c>
      <c r="H15" s="9">
        <f t="shared" si="3"/>
        <v>4.386075949367088</v>
      </c>
      <c r="I15" s="9">
        <f t="shared" si="0"/>
        <v>1.2341772151898733</v>
      </c>
      <c r="J15" s="9">
        <f t="shared" si="1"/>
        <v>317.72151898734177</v>
      </c>
      <c r="K15" s="9">
        <f t="shared" si="2"/>
        <v>2201.8101265822784</v>
      </c>
      <c r="L15" s="16">
        <v>13</v>
      </c>
      <c r="M15" s="16" t="s">
        <v>30</v>
      </c>
      <c r="N15" s="16">
        <v>3.02</v>
      </c>
      <c r="O15" s="9">
        <v>10.58</v>
      </c>
      <c r="P15" s="9">
        <v>6.93</v>
      </c>
      <c r="Q15" s="9">
        <v>1.58</v>
      </c>
      <c r="R15" s="9">
        <v>1.95</v>
      </c>
      <c r="S15" s="9">
        <v>0.09</v>
      </c>
      <c r="T15" s="9">
        <v>0.01</v>
      </c>
      <c r="U15" s="9">
        <v>0.03</v>
      </c>
      <c r="V15" s="18">
        <v>4.75</v>
      </c>
      <c r="W15" s="18">
        <v>67</v>
      </c>
      <c r="X15" s="18">
        <v>0.2</v>
      </c>
      <c r="Y15" s="18">
        <v>502</v>
      </c>
      <c r="Z15" s="18"/>
      <c r="AA15" s="18"/>
      <c r="AB15" s="18">
        <v>155.69999999999999</v>
      </c>
      <c r="AC15" s="18">
        <v>4.72</v>
      </c>
      <c r="AD15" s="18">
        <v>124</v>
      </c>
      <c r="AE15" s="18">
        <v>2.5</v>
      </c>
      <c r="AF15" s="18">
        <v>2.92</v>
      </c>
      <c r="AG15" s="18">
        <v>25.3</v>
      </c>
      <c r="AH15" s="18">
        <v>254.7</v>
      </c>
      <c r="AI15" s="18">
        <v>17.100000000000001</v>
      </c>
      <c r="AJ15" s="18">
        <v>54.6</v>
      </c>
      <c r="AK15" s="18">
        <v>76.099999999999994</v>
      </c>
      <c r="AL15" s="18">
        <v>24.2</v>
      </c>
      <c r="AM15" s="26">
        <v>1.018</v>
      </c>
      <c r="AN15" s="26">
        <v>3.76</v>
      </c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  <c r="JC15" s="2"/>
      <c r="JD15" s="2"/>
      <c r="JE15" s="2"/>
      <c r="JF15" s="2"/>
      <c r="JG15" s="2"/>
      <c r="JH15" s="2"/>
      <c r="JI15" s="2"/>
      <c r="JJ15" s="2"/>
      <c r="JK15" s="2"/>
      <c r="JL15" s="2"/>
      <c r="JM15" s="2"/>
      <c r="JN15" s="2"/>
      <c r="JO15" s="2"/>
      <c r="JP15" s="2"/>
      <c r="JQ15" s="2"/>
      <c r="JR15" s="2"/>
      <c r="JS15" s="2"/>
      <c r="JT15" s="2"/>
      <c r="JU15" s="2"/>
      <c r="JV15" s="2"/>
      <c r="JW15" s="2"/>
      <c r="JX15" s="2"/>
      <c r="JY15" s="2"/>
      <c r="JZ15" s="2"/>
      <c r="KA15" s="2"/>
      <c r="KB15" s="2"/>
      <c r="KC15" s="2"/>
      <c r="KD15" s="2"/>
      <c r="KE15" s="2"/>
      <c r="KF15" s="2"/>
      <c r="KG15" s="2"/>
      <c r="KH15" s="2"/>
      <c r="KI15" s="2"/>
      <c r="KJ15" s="2"/>
      <c r="KK15" s="2"/>
      <c r="KL15" s="2"/>
      <c r="KM15" s="2"/>
      <c r="KN15" s="2"/>
      <c r="KO15" s="2"/>
      <c r="KP15" s="2"/>
      <c r="KQ15" s="2"/>
      <c r="KR15" s="2"/>
      <c r="KS15" s="2"/>
      <c r="KT15" s="2"/>
      <c r="KU15" s="2"/>
      <c r="KV15" s="2"/>
      <c r="KW15" s="2"/>
      <c r="KX15" s="2"/>
      <c r="KY15" s="2"/>
      <c r="KZ15" s="2"/>
      <c r="LA15" s="2"/>
      <c r="LB15" s="2"/>
      <c r="LC15" s="2"/>
      <c r="LD15" s="2"/>
      <c r="LE15" s="2"/>
      <c r="LF15" s="2"/>
      <c r="LG15" s="2"/>
      <c r="LH15" s="2"/>
      <c r="LI15" s="2"/>
      <c r="LJ15" s="2"/>
      <c r="LK15" s="2"/>
      <c r="LL15" s="2"/>
      <c r="LM15" s="2"/>
      <c r="LN15" s="2"/>
      <c r="LO15" s="2"/>
      <c r="LP15" s="2"/>
      <c r="LQ15" s="2"/>
      <c r="LR15" s="2"/>
      <c r="LS15" s="2"/>
      <c r="LT15" s="2"/>
      <c r="LU15" s="2"/>
      <c r="LV15" s="2"/>
      <c r="LW15" s="2"/>
      <c r="LX15" s="2"/>
      <c r="LY15" s="2"/>
      <c r="LZ15" s="2"/>
      <c r="MA15" s="2"/>
      <c r="MB15" s="2"/>
      <c r="MC15" s="2"/>
      <c r="MD15" s="2"/>
      <c r="ME15" s="2"/>
      <c r="MF15" s="2"/>
      <c r="MG15" s="2"/>
      <c r="MH15" s="2"/>
      <c r="MI15" s="2"/>
      <c r="MJ15" s="2"/>
      <c r="MK15" s="2"/>
      <c r="ML15" s="2"/>
      <c r="MM15" s="2"/>
      <c r="MN15" s="2"/>
      <c r="MO15" s="2"/>
      <c r="MP15" s="2"/>
      <c r="MQ15" s="2"/>
      <c r="MR15" s="2"/>
      <c r="MS15" s="2"/>
      <c r="MT15" s="2"/>
      <c r="MU15" s="2"/>
      <c r="MV15" s="2"/>
      <c r="MW15" s="2"/>
      <c r="MX15" s="2"/>
      <c r="MY15" s="2"/>
      <c r="MZ15" s="2"/>
      <c r="NA15" s="2"/>
      <c r="NB15" s="2"/>
      <c r="NC15" s="2"/>
      <c r="ND15" s="2"/>
      <c r="NE15" s="2"/>
      <c r="NF15" s="2"/>
      <c r="NG15" s="2"/>
      <c r="NH15" s="2"/>
      <c r="NI15" s="2"/>
      <c r="NJ15" s="2"/>
      <c r="NK15" s="2"/>
      <c r="NL15" s="2"/>
      <c r="NM15" s="2"/>
      <c r="NN15" s="2"/>
      <c r="NO15" s="2"/>
      <c r="NP15" s="2"/>
      <c r="NQ15" s="2"/>
      <c r="NR15" s="2"/>
      <c r="NS15" s="2"/>
      <c r="NT15" s="2"/>
      <c r="NU15" s="2"/>
      <c r="NV15" s="2"/>
      <c r="NW15" s="2"/>
      <c r="NX15" s="2"/>
      <c r="NY15" s="2"/>
      <c r="NZ15" s="2"/>
      <c r="OA15" s="2"/>
      <c r="OB15" s="2"/>
      <c r="OC15" s="2"/>
      <c r="OD15" s="2"/>
      <c r="OE15" s="2"/>
      <c r="OF15" s="2"/>
      <c r="OG15" s="2"/>
      <c r="OH15" s="2"/>
      <c r="OI15" s="2"/>
      <c r="OJ15" s="2"/>
      <c r="OK15" s="2"/>
      <c r="OL15" s="2"/>
      <c r="OM15" s="2"/>
      <c r="ON15" s="2"/>
      <c r="OO15" s="2"/>
      <c r="OP15" s="2"/>
      <c r="OQ15" s="2"/>
      <c r="OR15" s="2"/>
      <c r="OS15" s="2"/>
      <c r="OT15" s="2"/>
      <c r="OU15" s="2"/>
      <c r="OV15" s="2"/>
      <c r="OW15" s="2"/>
      <c r="OX15" s="2"/>
      <c r="OY15" s="2"/>
      <c r="OZ15" s="2"/>
      <c r="PA15" s="2"/>
      <c r="PB15" s="2"/>
      <c r="PC15" s="2"/>
      <c r="PD15" s="2"/>
      <c r="PE15" s="2"/>
      <c r="PF15" s="2"/>
      <c r="PG15" s="2"/>
      <c r="PH15" s="2"/>
      <c r="PI15" s="2"/>
      <c r="PJ15" s="2"/>
      <c r="PK15" s="2"/>
      <c r="PL15" s="2"/>
      <c r="PM15" s="2"/>
      <c r="PN15" s="2"/>
      <c r="PO15" s="2"/>
      <c r="PP15" s="2"/>
      <c r="PQ15" s="2"/>
      <c r="PR15" s="2"/>
      <c r="PS15" s="2"/>
      <c r="PT15" s="2"/>
      <c r="PU15" s="2"/>
      <c r="PV15" s="2"/>
      <c r="PW15" s="2"/>
      <c r="PX15" s="2"/>
      <c r="PY15" s="2"/>
      <c r="PZ15" s="2"/>
      <c r="QA15" s="2"/>
      <c r="QB15" s="2"/>
      <c r="QC15" s="2"/>
      <c r="QD15" s="2"/>
      <c r="QE15" s="2"/>
      <c r="QF15" s="2"/>
      <c r="QG15" s="2"/>
      <c r="QH15" s="2"/>
      <c r="QI15" s="2"/>
      <c r="QJ15" s="2"/>
      <c r="QK15" s="2"/>
      <c r="QL15" s="2"/>
      <c r="QM15" s="2"/>
      <c r="QN15" s="2"/>
      <c r="QO15" s="2"/>
      <c r="QP15" s="2"/>
      <c r="QQ15" s="2"/>
      <c r="QR15" s="2"/>
      <c r="QS15" s="2"/>
      <c r="QT15" s="2"/>
      <c r="QU15" s="2"/>
      <c r="QV15" s="2"/>
      <c r="QW15" s="2"/>
      <c r="QX15" s="2"/>
      <c r="QY15" s="2"/>
      <c r="QZ15" s="2"/>
      <c r="RA15" s="2"/>
      <c r="RB15" s="2"/>
      <c r="RC15" s="2"/>
      <c r="RD15" s="2"/>
      <c r="RE15" s="2"/>
      <c r="RF15" s="2"/>
      <c r="RG15" s="2"/>
      <c r="RH15" s="2"/>
      <c r="RI15" s="2"/>
      <c r="RJ15" s="2"/>
      <c r="RK15" s="2"/>
      <c r="RL15" s="2"/>
      <c r="RM15" s="2"/>
      <c r="RN15" s="2"/>
      <c r="RO15" s="2"/>
      <c r="RP15" s="2"/>
      <c r="RQ15" s="2"/>
      <c r="RR15" s="2"/>
      <c r="RS15" s="2"/>
      <c r="RT15" s="2"/>
      <c r="RU15" s="2"/>
      <c r="RV15" s="2"/>
      <c r="RW15" s="2"/>
      <c r="RX15" s="2"/>
      <c r="RY15" s="2"/>
      <c r="RZ15" s="2"/>
      <c r="SA15" s="2"/>
      <c r="SB15" s="2"/>
      <c r="SC15" s="2"/>
      <c r="SD15" s="2"/>
      <c r="SE15" s="2"/>
      <c r="SF15" s="2"/>
      <c r="SG15" s="2"/>
      <c r="SH15" s="2"/>
      <c r="SI15" s="2"/>
      <c r="SJ15" s="2"/>
      <c r="SK15" s="2"/>
      <c r="SL15" s="2"/>
      <c r="SM15" s="2"/>
      <c r="SN15" s="2"/>
      <c r="SO15" s="2"/>
      <c r="SP15" s="2"/>
      <c r="SQ15" s="2"/>
      <c r="SR15" s="2"/>
      <c r="SS15" s="2"/>
      <c r="ST15" s="2"/>
      <c r="SU15" s="2"/>
      <c r="SV15" s="2"/>
      <c r="SW15" s="2"/>
      <c r="SX15" s="2"/>
      <c r="SY15" s="2"/>
      <c r="SZ15" s="2"/>
      <c r="TA15" s="2"/>
      <c r="TB15" s="2"/>
      <c r="TC15" s="2"/>
      <c r="TD15" s="2"/>
      <c r="TE15" s="2"/>
      <c r="TF15" s="2"/>
      <c r="TG15" s="2"/>
      <c r="TH15" s="2"/>
      <c r="TI15" s="2"/>
      <c r="TJ15" s="2"/>
      <c r="TK15" s="2"/>
      <c r="TL15" s="2"/>
      <c r="TM15" s="2"/>
      <c r="TN15" s="2"/>
      <c r="TO15" s="2"/>
      <c r="TP15" s="2"/>
      <c r="TQ15" s="2"/>
      <c r="TR15" s="2"/>
      <c r="TS15" s="2"/>
      <c r="TT15" s="2"/>
      <c r="TU15" s="2"/>
      <c r="TV15" s="2"/>
      <c r="TW15" s="2"/>
      <c r="TX15" s="2"/>
      <c r="TY15" s="2"/>
      <c r="TZ15" s="2"/>
      <c r="UA15" s="2"/>
      <c r="UB15" s="2"/>
      <c r="UC15" s="2"/>
      <c r="UD15" s="2"/>
      <c r="UE15" s="2"/>
      <c r="UF15" s="2"/>
      <c r="UG15" s="2"/>
      <c r="UH15" s="2"/>
      <c r="UI15" s="2"/>
      <c r="UJ15" s="2"/>
      <c r="UK15" s="2"/>
      <c r="UL15" s="2"/>
      <c r="UM15" s="2"/>
      <c r="UN15" s="2"/>
      <c r="UO15" s="2"/>
      <c r="UP15" s="2"/>
      <c r="UQ15" s="2"/>
      <c r="UR15" s="2"/>
      <c r="US15" s="2"/>
      <c r="UT15" s="2"/>
      <c r="UU15" s="2"/>
      <c r="UV15" s="2"/>
      <c r="UW15" s="2"/>
      <c r="UX15" s="2"/>
      <c r="UY15" s="2"/>
      <c r="UZ15" s="2"/>
      <c r="VA15" s="2"/>
      <c r="VB15" s="2"/>
      <c r="VC15" s="2"/>
      <c r="VD15" s="2"/>
      <c r="VE15" s="2"/>
      <c r="VF15" s="2"/>
      <c r="VG15" s="2"/>
      <c r="VH15" s="2"/>
      <c r="VI15" s="2"/>
      <c r="VJ15" s="2"/>
      <c r="VK15" s="2"/>
      <c r="VL15" s="2"/>
      <c r="VM15" s="2"/>
      <c r="VN15" s="2"/>
      <c r="VO15" s="2"/>
      <c r="VP15" s="2"/>
      <c r="VQ15" s="2"/>
      <c r="VR15" s="2"/>
      <c r="VS15" s="2"/>
      <c r="VT15" s="2"/>
      <c r="VU15" s="2"/>
      <c r="VV15" s="2"/>
      <c r="VW15" s="2"/>
      <c r="VX15" s="2"/>
      <c r="VY15" s="2"/>
      <c r="VZ15" s="2"/>
      <c r="WA15" s="2"/>
      <c r="WB15" s="2"/>
      <c r="WC15" s="2"/>
      <c r="WD15" s="2"/>
      <c r="WE15" s="2"/>
      <c r="WF15" s="2"/>
      <c r="WG15" s="2"/>
      <c r="WH15" s="2"/>
      <c r="WI15" s="2"/>
      <c r="WJ15" s="2"/>
      <c r="WK15" s="2"/>
      <c r="WL15" s="2"/>
      <c r="WM15" s="2"/>
      <c r="WN15" s="2"/>
      <c r="WO15" s="2"/>
      <c r="WP15" s="2"/>
      <c r="WQ15" s="2"/>
      <c r="WR15" s="2"/>
      <c r="WS15" s="2"/>
      <c r="WT15" s="2"/>
      <c r="WU15" s="2"/>
      <c r="WV15" s="2"/>
      <c r="WW15" s="2"/>
      <c r="WX15" s="2"/>
      <c r="WY15" s="2"/>
      <c r="WZ15" s="2"/>
      <c r="XA15" s="2"/>
      <c r="XB15" s="2"/>
      <c r="XC15" s="2"/>
      <c r="XD15" s="2"/>
      <c r="XE15" s="2"/>
      <c r="XF15" s="2"/>
      <c r="XG15" s="2"/>
      <c r="XH15" s="2"/>
      <c r="XI15" s="2"/>
      <c r="XJ15" s="2"/>
      <c r="XK15" s="2"/>
      <c r="XL15" s="2"/>
      <c r="XM15" s="2"/>
      <c r="XN15" s="2"/>
      <c r="XO15" s="2"/>
      <c r="XP15" s="2"/>
      <c r="XQ15" s="2"/>
      <c r="XR15" s="2"/>
      <c r="XS15" s="2"/>
      <c r="XT15" s="2"/>
      <c r="XU15" s="2"/>
      <c r="XV15" s="2"/>
      <c r="XW15" s="2"/>
      <c r="XX15" s="2"/>
      <c r="XY15" s="2"/>
      <c r="XZ15" s="2"/>
      <c r="YA15" s="2"/>
      <c r="YB15" s="2"/>
      <c r="YC15" s="2"/>
      <c r="YD15" s="2"/>
      <c r="YE15" s="2"/>
      <c r="YF15" s="2"/>
      <c r="YG15" s="2"/>
      <c r="YH15" s="2"/>
      <c r="YI15" s="2"/>
      <c r="YJ15" s="2"/>
      <c r="YK15" s="2"/>
      <c r="YL15" s="2"/>
      <c r="YM15" s="2"/>
      <c r="YN15" s="2"/>
      <c r="YO15" s="2"/>
      <c r="YP15" s="2"/>
      <c r="YQ15" s="2"/>
      <c r="YR15" s="2"/>
      <c r="YS15" s="2"/>
      <c r="YT15" s="2"/>
      <c r="YU15" s="2"/>
      <c r="YV15" s="2"/>
      <c r="YW15" s="2"/>
      <c r="YX15" s="2"/>
      <c r="YY15" s="2"/>
      <c r="YZ15" s="2"/>
      <c r="ZA15" s="2"/>
      <c r="ZB15" s="2"/>
      <c r="ZC15" s="2"/>
      <c r="ZD15" s="2"/>
      <c r="ZE15" s="2"/>
      <c r="ZF15" s="2"/>
      <c r="ZG15" s="2"/>
      <c r="ZH15" s="2"/>
      <c r="ZI15" s="2"/>
      <c r="ZJ15" s="2"/>
      <c r="ZK15" s="2"/>
      <c r="ZL15" s="2"/>
      <c r="ZM15" s="2"/>
      <c r="ZN15" s="2"/>
      <c r="ZO15" s="2"/>
      <c r="ZP15" s="2"/>
      <c r="ZQ15" s="2"/>
      <c r="ZR15" s="2"/>
      <c r="ZS15" s="2"/>
      <c r="ZT15" s="2"/>
      <c r="ZU15" s="2"/>
      <c r="ZV15" s="2"/>
      <c r="ZW15" s="2"/>
      <c r="ZX15" s="2"/>
      <c r="ZY15" s="2"/>
      <c r="ZZ15" s="2"/>
      <c r="AAA15" s="2"/>
      <c r="AAB15" s="2"/>
      <c r="AAC15" s="2"/>
      <c r="AAD15" s="2"/>
      <c r="AAE15" s="2"/>
      <c r="AAF15" s="2"/>
      <c r="AAG15" s="2"/>
      <c r="AAH15" s="2"/>
      <c r="AAI15" s="2"/>
      <c r="AAJ15" s="2"/>
      <c r="AAK15" s="2"/>
      <c r="AAL15" s="2"/>
      <c r="AAM15" s="2"/>
      <c r="AAN15" s="2"/>
      <c r="AAO15" s="2"/>
      <c r="AAP15" s="2"/>
      <c r="AAQ15" s="2"/>
      <c r="AAR15" s="2"/>
      <c r="AAS15" s="2"/>
      <c r="AAT15" s="2"/>
      <c r="AAU15" s="2"/>
      <c r="AAV15" s="2"/>
      <c r="AAW15" s="2"/>
      <c r="AAX15" s="2"/>
      <c r="AAY15" s="2"/>
      <c r="AAZ15" s="2"/>
      <c r="ABA15" s="2"/>
      <c r="ABB15" s="2"/>
      <c r="ABC15" s="2"/>
      <c r="ABD15" s="2"/>
      <c r="ABE15" s="2"/>
      <c r="ABF15" s="2"/>
      <c r="ABG15" s="2"/>
      <c r="ABH15" s="2"/>
      <c r="ABI15" s="2"/>
      <c r="ABJ15" s="2"/>
      <c r="ABK15" s="2"/>
      <c r="ABL15" s="2"/>
      <c r="ABM15" s="2"/>
      <c r="ABN15" s="2"/>
      <c r="ABO15" s="2"/>
      <c r="ABP15" s="2"/>
      <c r="ABQ15" s="2"/>
      <c r="ABR15" s="2"/>
      <c r="ABS15" s="2"/>
      <c r="ABT15" s="2"/>
      <c r="ABU15" s="2"/>
      <c r="ABV15" s="2"/>
      <c r="ABW15" s="2"/>
      <c r="ABX15" s="2"/>
      <c r="ABY15" s="2"/>
      <c r="ABZ15" s="2"/>
      <c r="ACA15" s="2"/>
      <c r="ACB15" s="2"/>
      <c r="ACC15" s="2"/>
      <c r="ACD15" s="2"/>
      <c r="ACE15" s="2"/>
      <c r="ACF15" s="2"/>
      <c r="ACG15" s="2"/>
      <c r="ACH15" s="2"/>
      <c r="ACI15" s="2"/>
      <c r="ACJ15" s="2"/>
      <c r="ACK15" s="2"/>
      <c r="ACL15" s="2"/>
      <c r="ACM15" s="2"/>
      <c r="ACN15" s="2"/>
      <c r="ACO15" s="2"/>
      <c r="ACP15" s="2"/>
      <c r="ACQ15" s="2"/>
      <c r="ACR15" s="2"/>
      <c r="ACS15" s="2"/>
      <c r="ACT15" s="2"/>
      <c r="ACU15" s="2"/>
      <c r="ACV15" s="2"/>
      <c r="ACW15" s="2"/>
      <c r="ACX15" s="2"/>
      <c r="ACY15" s="2"/>
      <c r="ACZ15" s="2"/>
      <c r="ADA15" s="2"/>
      <c r="ADB15" s="2"/>
      <c r="ADC15" s="2"/>
      <c r="ADD15" s="2"/>
      <c r="ADE15" s="2"/>
      <c r="ADF15" s="2"/>
      <c r="ADG15" s="2"/>
      <c r="ADH15" s="2"/>
      <c r="ADI15" s="2"/>
      <c r="ADJ15" s="2"/>
      <c r="ADK15" s="2"/>
      <c r="ADL15" s="2"/>
      <c r="ADM15" s="2"/>
      <c r="ADN15" s="2"/>
      <c r="ADO15" s="2"/>
      <c r="ADP15" s="2"/>
      <c r="ADQ15" s="2"/>
      <c r="ADR15" s="2"/>
      <c r="ADS15" s="2"/>
      <c r="ADT15" s="2"/>
      <c r="ADU15" s="2"/>
      <c r="ADV15" s="2"/>
      <c r="ADW15" s="2"/>
      <c r="ADX15" s="2"/>
      <c r="ADY15" s="2"/>
      <c r="ADZ15" s="2"/>
      <c r="AEA15" s="2"/>
      <c r="AEB15" s="2"/>
      <c r="AEC15" s="2"/>
      <c r="AED15" s="2"/>
      <c r="AEE15" s="2"/>
      <c r="AEF15" s="2"/>
      <c r="AEG15" s="2"/>
      <c r="AEH15" s="2"/>
      <c r="AEI15" s="2"/>
      <c r="AEJ15" s="2"/>
      <c r="AEK15" s="2"/>
      <c r="AEL15" s="2"/>
      <c r="AEM15" s="2"/>
      <c r="AEN15" s="2"/>
      <c r="AEO15" s="2"/>
      <c r="AEP15" s="2"/>
      <c r="AEQ15" s="2"/>
      <c r="AER15" s="2"/>
      <c r="AES15" s="2"/>
      <c r="AET15" s="2"/>
      <c r="AEU15" s="2"/>
      <c r="AEV15" s="2"/>
      <c r="AEW15" s="2"/>
      <c r="AEX15" s="2"/>
      <c r="AEY15" s="2"/>
      <c r="AEZ15" s="2"/>
      <c r="AFA15" s="2"/>
      <c r="AFB15" s="2"/>
      <c r="AFC15" s="2"/>
      <c r="AFD15" s="2"/>
      <c r="AFE15" s="2"/>
      <c r="AFF15" s="2"/>
      <c r="AFG15" s="2"/>
      <c r="AFH15" s="2"/>
      <c r="AFI15" s="2"/>
      <c r="AFJ15" s="2"/>
      <c r="AFK15" s="2"/>
      <c r="AFL15" s="2"/>
      <c r="AFM15" s="2"/>
      <c r="AFN15" s="2"/>
      <c r="AFO15" s="2"/>
      <c r="AFP15" s="2"/>
      <c r="AFQ15" s="2"/>
      <c r="AFR15" s="2"/>
      <c r="AFS15" s="2"/>
      <c r="AFT15" s="2"/>
      <c r="AFU15" s="2"/>
      <c r="AFV15" s="2"/>
      <c r="AFW15" s="2"/>
      <c r="AFX15" s="2"/>
      <c r="AFY15" s="2"/>
      <c r="AFZ15" s="2"/>
      <c r="AGA15" s="2"/>
      <c r="AGB15" s="2"/>
      <c r="AGC15" s="2"/>
      <c r="AGD15" s="2"/>
      <c r="AGE15" s="2"/>
      <c r="AGF15" s="2"/>
      <c r="AGG15" s="2"/>
      <c r="AGH15" s="2"/>
      <c r="AGI15" s="2"/>
      <c r="AGJ15" s="2"/>
      <c r="AGK15" s="2"/>
      <c r="AGL15" s="2"/>
      <c r="AGM15" s="2"/>
      <c r="AGN15" s="2"/>
      <c r="AGO15" s="2"/>
      <c r="AGP15" s="2"/>
      <c r="AGQ15" s="2"/>
      <c r="AGR15" s="2"/>
      <c r="AGS15" s="2"/>
      <c r="AGT15" s="2"/>
      <c r="AGU15" s="2"/>
      <c r="AGV15" s="2"/>
      <c r="AGW15" s="2"/>
      <c r="AGX15" s="2"/>
      <c r="AGY15" s="2"/>
      <c r="AGZ15" s="2"/>
      <c r="AHA15" s="2"/>
      <c r="AHB15" s="2"/>
      <c r="AHC15" s="2"/>
      <c r="AHD15" s="2"/>
      <c r="AHE15" s="2"/>
      <c r="AHF15" s="2"/>
      <c r="AHG15" s="2"/>
      <c r="AHH15" s="2"/>
      <c r="AHI15" s="2"/>
      <c r="AHJ15" s="2"/>
      <c r="AHK15" s="2"/>
      <c r="AHL15" s="2"/>
      <c r="AHM15" s="2"/>
      <c r="AHN15" s="2"/>
      <c r="AHO15" s="2"/>
      <c r="AHP15" s="2"/>
      <c r="AHQ15" s="2"/>
      <c r="AHR15" s="2"/>
      <c r="AHS15" s="2"/>
      <c r="AHT15" s="2"/>
      <c r="AHU15" s="2"/>
      <c r="AHV15" s="2"/>
      <c r="AHW15" s="2"/>
      <c r="AHX15" s="2"/>
      <c r="AHY15" s="2"/>
      <c r="AHZ15" s="2"/>
      <c r="AIA15" s="2"/>
      <c r="AIB15" s="2"/>
      <c r="AIC15" s="2"/>
      <c r="AID15" s="2"/>
      <c r="AIE15" s="2"/>
      <c r="AIF15" s="2"/>
      <c r="AIG15" s="2"/>
      <c r="AIH15" s="2"/>
      <c r="AII15" s="2"/>
      <c r="AIJ15" s="2"/>
      <c r="AIK15" s="2"/>
      <c r="AIL15" s="2"/>
      <c r="AIM15" s="2"/>
      <c r="AIN15" s="2"/>
      <c r="AIO15" s="2"/>
      <c r="AIP15" s="2"/>
      <c r="AIQ15" s="2"/>
      <c r="AIR15" s="2"/>
      <c r="AIS15" s="2"/>
      <c r="AIT15" s="2"/>
      <c r="AIU15" s="2"/>
      <c r="AIV15" s="2"/>
      <c r="AIW15" s="2"/>
      <c r="AIX15" s="2"/>
      <c r="AIY15" s="2"/>
      <c r="AIZ15" s="2"/>
      <c r="AJA15" s="2"/>
      <c r="AJB15" s="2"/>
      <c r="AJC15" s="2"/>
      <c r="AJD15" s="2"/>
      <c r="AJE15" s="2"/>
      <c r="AJF15" s="2"/>
      <c r="AJG15" s="2"/>
      <c r="AJH15" s="2"/>
      <c r="AJI15" s="2"/>
      <c r="AJJ15" s="2"/>
      <c r="AJK15" s="2"/>
      <c r="AJL15" s="2"/>
      <c r="AJM15" s="2"/>
      <c r="AJN15" s="2"/>
      <c r="AJO15" s="2"/>
      <c r="AJP15" s="2"/>
      <c r="AJQ15" s="2"/>
      <c r="AJR15" s="2"/>
      <c r="AJS15" s="2"/>
      <c r="AJT15" s="2"/>
      <c r="AJU15" s="2"/>
      <c r="AJV15" s="2"/>
      <c r="AJW15" s="2"/>
      <c r="AJX15" s="2"/>
      <c r="AJY15" s="2"/>
      <c r="AJZ15" s="2"/>
      <c r="AKA15" s="2"/>
    </row>
    <row r="16" spans="1:963">
      <c r="A16" s="7">
        <v>15</v>
      </c>
      <c r="B16" s="2">
        <v>3</v>
      </c>
      <c r="C16" s="21">
        <v>13.22</v>
      </c>
      <c r="D16" s="9">
        <v>10.07</v>
      </c>
      <c r="E16" s="9">
        <v>2.0699999999999998</v>
      </c>
      <c r="F16" s="9">
        <v>0.82</v>
      </c>
      <c r="G16" s="21">
        <v>394</v>
      </c>
      <c r="H16" s="9">
        <f t="shared" si="3"/>
        <v>4.8647342995169085</v>
      </c>
      <c r="I16" s="9">
        <f t="shared" si="0"/>
        <v>0.39613526570048307</v>
      </c>
      <c r="J16" s="9">
        <f t="shared" si="1"/>
        <v>190.33816425120776</v>
      </c>
      <c r="K16" s="9">
        <f t="shared" si="2"/>
        <v>1916.7053140096621</v>
      </c>
      <c r="L16" s="21">
        <v>15</v>
      </c>
      <c r="M16" s="21" t="s">
        <v>32</v>
      </c>
      <c r="N16" s="21">
        <v>4.4000000000000004</v>
      </c>
      <c r="O16" s="9">
        <v>13.22</v>
      </c>
      <c r="P16" s="9">
        <v>10.07</v>
      </c>
      <c r="Q16" s="9">
        <v>2.0699999999999998</v>
      </c>
      <c r="R16" s="9">
        <v>0.82</v>
      </c>
      <c r="S16" s="9">
        <v>0.16</v>
      </c>
      <c r="T16" s="9">
        <v>0.02</v>
      </c>
      <c r="U16" s="9">
        <v>0.06</v>
      </c>
      <c r="V16" s="22">
        <v>4.96</v>
      </c>
      <c r="W16" s="22">
        <v>81</v>
      </c>
      <c r="X16" s="22">
        <v>0.25</v>
      </c>
      <c r="Y16" s="22">
        <v>394</v>
      </c>
      <c r="Z16" s="22"/>
      <c r="AA16" s="22"/>
      <c r="AB16" s="22">
        <v>152</v>
      </c>
      <c r="AC16" s="22">
        <v>4.2</v>
      </c>
      <c r="AD16" s="22">
        <v>121</v>
      </c>
      <c r="AE16" s="22">
        <v>2.1</v>
      </c>
      <c r="AF16" s="22">
        <v>2.67</v>
      </c>
      <c r="AG16" s="22">
        <v>25.4</v>
      </c>
      <c r="AH16" s="22">
        <v>291.75</v>
      </c>
      <c r="AI16" s="22"/>
      <c r="AJ16" s="22"/>
      <c r="AK16" s="22">
        <v>83.16</v>
      </c>
      <c r="AL16" s="22">
        <v>24.31</v>
      </c>
      <c r="AM16" s="27">
        <v>1.0209999999999999</v>
      </c>
      <c r="AN16" s="27">
        <v>0.88700000000000001</v>
      </c>
      <c r="AO16" s="6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  <c r="JC16" s="2"/>
      <c r="JD16" s="2"/>
      <c r="JE16" s="2"/>
      <c r="JF16" s="2"/>
      <c r="JG16" s="2"/>
      <c r="JH16" s="2"/>
      <c r="JI16" s="2"/>
      <c r="JJ16" s="2"/>
      <c r="JK16" s="2"/>
      <c r="JL16" s="2"/>
      <c r="JM16" s="2"/>
      <c r="JN16" s="2"/>
      <c r="JO16" s="2"/>
      <c r="JP16" s="2"/>
      <c r="JQ16" s="2"/>
      <c r="JR16" s="2"/>
      <c r="JS16" s="2"/>
      <c r="JT16" s="2"/>
      <c r="JU16" s="2"/>
      <c r="JV16" s="2"/>
      <c r="JW16" s="2"/>
      <c r="JX16" s="2"/>
      <c r="JY16" s="2"/>
      <c r="JZ16" s="2"/>
      <c r="KA16" s="2"/>
      <c r="KB16" s="2"/>
      <c r="KC16" s="2"/>
      <c r="KD16" s="2"/>
      <c r="KE16" s="2"/>
      <c r="KF16" s="2"/>
      <c r="KG16" s="2"/>
      <c r="KH16" s="2"/>
      <c r="KI16" s="2"/>
      <c r="KJ16" s="2"/>
      <c r="KK16" s="2"/>
      <c r="KL16" s="2"/>
      <c r="KM16" s="2"/>
      <c r="KN16" s="2"/>
      <c r="KO16" s="2"/>
      <c r="KP16" s="2"/>
      <c r="KQ16" s="2"/>
      <c r="KR16" s="2"/>
      <c r="KS16" s="2"/>
      <c r="KT16" s="2"/>
      <c r="KU16" s="2"/>
      <c r="KV16" s="2"/>
      <c r="KW16" s="2"/>
      <c r="KX16" s="2"/>
      <c r="KY16" s="2"/>
      <c r="KZ16" s="2"/>
      <c r="LA16" s="2"/>
      <c r="LB16" s="2"/>
      <c r="LC16" s="2"/>
      <c r="LD16" s="2"/>
      <c r="LE16" s="2"/>
      <c r="LF16" s="2"/>
      <c r="LG16" s="2"/>
      <c r="LH16" s="2"/>
      <c r="LI16" s="2"/>
      <c r="LJ16" s="2"/>
      <c r="LK16" s="2"/>
      <c r="LL16" s="2"/>
      <c r="LM16" s="2"/>
      <c r="LN16" s="2"/>
      <c r="LO16" s="2"/>
      <c r="LP16" s="2"/>
      <c r="LQ16" s="2"/>
      <c r="LR16" s="2"/>
      <c r="LS16" s="2"/>
      <c r="LT16" s="2"/>
      <c r="LU16" s="2"/>
      <c r="LV16" s="2"/>
      <c r="LW16" s="2"/>
      <c r="LX16" s="2"/>
      <c r="LY16" s="2"/>
      <c r="LZ16" s="2"/>
      <c r="MA16" s="2"/>
      <c r="MB16" s="2"/>
      <c r="MC16" s="2"/>
      <c r="MD16" s="2"/>
      <c r="ME16" s="2"/>
      <c r="MF16" s="2"/>
      <c r="MG16" s="2"/>
      <c r="MH16" s="2"/>
      <c r="MI16" s="2"/>
      <c r="MJ16" s="2"/>
      <c r="MK16" s="2"/>
      <c r="ML16" s="2"/>
      <c r="MM16" s="2"/>
      <c r="MN16" s="2"/>
      <c r="MO16" s="2"/>
      <c r="MP16" s="2"/>
      <c r="MQ16" s="2"/>
      <c r="MR16" s="2"/>
      <c r="MS16" s="2"/>
      <c r="MT16" s="2"/>
      <c r="MU16" s="2"/>
      <c r="MV16" s="2"/>
      <c r="MW16" s="2"/>
      <c r="MX16" s="2"/>
      <c r="MY16" s="2"/>
      <c r="MZ16" s="2"/>
      <c r="NA16" s="2"/>
      <c r="NB16" s="2"/>
      <c r="NC16" s="2"/>
      <c r="ND16" s="2"/>
      <c r="NE16" s="2"/>
      <c r="NF16" s="2"/>
      <c r="NG16" s="2"/>
      <c r="NH16" s="2"/>
      <c r="NI16" s="2"/>
      <c r="NJ16" s="2"/>
      <c r="NK16" s="2"/>
      <c r="NL16" s="2"/>
      <c r="NM16" s="2"/>
      <c r="NN16" s="2"/>
      <c r="NO16" s="2"/>
      <c r="NP16" s="2"/>
      <c r="NQ16" s="2"/>
      <c r="NR16" s="2"/>
      <c r="NS16" s="2"/>
      <c r="NT16" s="2"/>
      <c r="NU16" s="2"/>
      <c r="NV16" s="2"/>
      <c r="NW16" s="2"/>
      <c r="NX16" s="2"/>
      <c r="NY16" s="2"/>
      <c r="NZ16" s="2"/>
      <c r="OA16" s="2"/>
      <c r="OB16" s="2"/>
      <c r="OC16" s="2"/>
      <c r="OD16" s="2"/>
      <c r="OE16" s="2"/>
      <c r="OF16" s="2"/>
      <c r="OG16" s="2"/>
      <c r="OH16" s="2"/>
      <c r="OI16" s="2"/>
      <c r="OJ16" s="2"/>
      <c r="OK16" s="2"/>
      <c r="OL16" s="2"/>
      <c r="OM16" s="2"/>
      <c r="ON16" s="2"/>
      <c r="OO16" s="2"/>
      <c r="OP16" s="2"/>
      <c r="OQ16" s="2"/>
      <c r="OR16" s="2"/>
      <c r="OS16" s="2"/>
      <c r="OT16" s="2"/>
      <c r="OU16" s="2"/>
      <c r="OV16" s="2"/>
      <c r="OW16" s="2"/>
      <c r="OX16" s="2"/>
      <c r="OY16" s="2"/>
      <c r="OZ16" s="2"/>
      <c r="PA16" s="2"/>
      <c r="PB16" s="2"/>
      <c r="PC16" s="2"/>
      <c r="PD16" s="2"/>
      <c r="PE16" s="2"/>
      <c r="PF16" s="2"/>
      <c r="PG16" s="2"/>
      <c r="PH16" s="2"/>
      <c r="PI16" s="2"/>
      <c r="PJ16" s="2"/>
      <c r="PK16" s="2"/>
      <c r="PL16" s="2"/>
      <c r="PM16" s="2"/>
      <c r="PN16" s="2"/>
      <c r="PO16" s="2"/>
      <c r="PP16" s="2"/>
      <c r="PQ16" s="2"/>
      <c r="PR16" s="2"/>
      <c r="PS16" s="2"/>
      <c r="PT16" s="2"/>
      <c r="PU16" s="2"/>
      <c r="PV16" s="2"/>
      <c r="PW16" s="2"/>
      <c r="PX16" s="2"/>
      <c r="PY16" s="2"/>
      <c r="PZ16" s="2"/>
      <c r="QA16" s="2"/>
      <c r="QB16" s="2"/>
      <c r="QC16" s="2"/>
      <c r="QD16" s="2"/>
      <c r="QE16" s="2"/>
      <c r="QF16" s="2"/>
      <c r="QG16" s="2"/>
      <c r="QH16" s="2"/>
      <c r="QI16" s="2"/>
      <c r="QJ16" s="2"/>
      <c r="QK16" s="2"/>
      <c r="QL16" s="2"/>
      <c r="QM16" s="2"/>
      <c r="QN16" s="2"/>
      <c r="QO16" s="2"/>
      <c r="QP16" s="2"/>
      <c r="QQ16" s="2"/>
      <c r="QR16" s="2"/>
      <c r="QS16" s="2"/>
      <c r="QT16" s="2"/>
      <c r="QU16" s="2"/>
      <c r="QV16" s="2"/>
      <c r="QW16" s="2"/>
      <c r="QX16" s="2"/>
      <c r="QY16" s="2"/>
      <c r="QZ16" s="2"/>
      <c r="RA16" s="2"/>
      <c r="RB16" s="2"/>
      <c r="RC16" s="2"/>
      <c r="RD16" s="2"/>
      <c r="RE16" s="2"/>
      <c r="RF16" s="2"/>
      <c r="RG16" s="2"/>
      <c r="RH16" s="2"/>
      <c r="RI16" s="2"/>
      <c r="RJ16" s="2"/>
      <c r="RK16" s="2"/>
      <c r="RL16" s="2"/>
      <c r="RM16" s="2"/>
      <c r="RN16" s="2"/>
      <c r="RO16" s="2"/>
      <c r="RP16" s="2"/>
      <c r="RQ16" s="2"/>
      <c r="RR16" s="2"/>
      <c r="RS16" s="2"/>
      <c r="RT16" s="2"/>
      <c r="RU16" s="2"/>
      <c r="RV16" s="2"/>
      <c r="RW16" s="2"/>
      <c r="RX16" s="2"/>
      <c r="RY16" s="2"/>
      <c r="RZ16" s="2"/>
      <c r="SA16" s="2"/>
      <c r="SB16" s="2"/>
      <c r="SC16" s="2"/>
      <c r="SD16" s="2"/>
      <c r="SE16" s="2"/>
      <c r="SF16" s="2"/>
      <c r="SG16" s="2"/>
      <c r="SH16" s="2"/>
      <c r="SI16" s="2"/>
      <c r="SJ16" s="2"/>
      <c r="SK16" s="2"/>
      <c r="SL16" s="2"/>
      <c r="SM16" s="2"/>
      <c r="SN16" s="2"/>
      <c r="SO16" s="2"/>
      <c r="SP16" s="2"/>
      <c r="SQ16" s="2"/>
      <c r="SR16" s="2"/>
      <c r="SS16" s="2"/>
      <c r="ST16" s="2"/>
      <c r="SU16" s="2"/>
      <c r="SV16" s="2"/>
      <c r="SW16" s="2"/>
      <c r="SX16" s="2"/>
      <c r="SY16" s="2"/>
      <c r="SZ16" s="2"/>
      <c r="TA16" s="2"/>
      <c r="TB16" s="2"/>
      <c r="TC16" s="2"/>
      <c r="TD16" s="2"/>
      <c r="TE16" s="2"/>
      <c r="TF16" s="2"/>
      <c r="TG16" s="2"/>
      <c r="TH16" s="2"/>
      <c r="TI16" s="2"/>
      <c r="TJ16" s="2"/>
      <c r="TK16" s="2"/>
      <c r="TL16" s="2"/>
      <c r="TM16" s="2"/>
      <c r="TN16" s="2"/>
      <c r="TO16" s="2"/>
      <c r="TP16" s="2"/>
      <c r="TQ16" s="2"/>
      <c r="TR16" s="2"/>
      <c r="TS16" s="2"/>
      <c r="TT16" s="2"/>
      <c r="TU16" s="2"/>
      <c r="TV16" s="2"/>
      <c r="TW16" s="2"/>
      <c r="TX16" s="2"/>
      <c r="TY16" s="2"/>
      <c r="TZ16" s="2"/>
      <c r="UA16" s="2"/>
      <c r="UB16" s="2"/>
      <c r="UC16" s="2"/>
      <c r="UD16" s="2"/>
      <c r="UE16" s="2"/>
      <c r="UF16" s="2"/>
      <c r="UG16" s="2"/>
      <c r="UH16" s="2"/>
      <c r="UI16" s="2"/>
      <c r="UJ16" s="2"/>
      <c r="UK16" s="2"/>
      <c r="UL16" s="2"/>
      <c r="UM16" s="2"/>
      <c r="UN16" s="2"/>
      <c r="UO16" s="2"/>
      <c r="UP16" s="2"/>
      <c r="UQ16" s="2"/>
      <c r="UR16" s="2"/>
      <c r="US16" s="2"/>
      <c r="UT16" s="2"/>
      <c r="UU16" s="2"/>
      <c r="UV16" s="2"/>
      <c r="UW16" s="2"/>
      <c r="UX16" s="2"/>
      <c r="UY16" s="2"/>
      <c r="UZ16" s="2"/>
      <c r="VA16" s="2"/>
      <c r="VB16" s="2"/>
      <c r="VC16" s="2"/>
      <c r="VD16" s="2"/>
      <c r="VE16" s="2"/>
      <c r="VF16" s="2"/>
      <c r="VG16" s="2"/>
      <c r="VH16" s="2"/>
      <c r="VI16" s="2"/>
      <c r="VJ16" s="2"/>
      <c r="VK16" s="2"/>
      <c r="VL16" s="2"/>
      <c r="VM16" s="2"/>
      <c r="VN16" s="2"/>
      <c r="VO16" s="2"/>
      <c r="VP16" s="2"/>
      <c r="VQ16" s="2"/>
      <c r="VR16" s="2"/>
      <c r="VS16" s="2"/>
      <c r="VT16" s="2"/>
      <c r="VU16" s="2"/>
      <c r="VV16" s="2"/>
      <c r="VW16" s="2"/>
      <c r="VX16" s="2"/>
      <c r="VY16" s="2"/>
      <c r="VZ16" s="2"/>
      <c r="WA16" s="2"/>
      <c r="WB16" s="2"/>
      <c r="WC16" s="2"/>
      <c r="WD16" s="2"/>
      <c r="WE16" s="2"/>
      <c r="WF16" s="2"/>
      <c r="WG16" s="2"/>
      <c r="WH16" s="2"/>
      <c r="WI16" s="2"/>
      <c r="WJ16" s="2"/>
      <c r="WK16" s="2"/>
      <c r="WL16" s="2"/>
      <c r="WM16" s="2"/>
      <c r="WN16" s="2"/>
      <c r="WO16" s="2"/>
      <c r="WP16" s="2"/>
      <c r="WQ16" s="2"/>
      <c r="WR16" s="2"/>
      <c r="WS16" s="2"/>
      <c r="WT16" s="2"/>
      <c r="WU16" s="2"/>
      <c r="WV16" s="2"/>
      <c r="WW16" s="2"/>
      <c r="WX16" s="2"/>
      <c r="WY16" s="2"/>
      <c r="WZ16" s="2"/>
      <c r="XA16" s="2"/>
      <c r="XB16" s="2"/>
      <c r="XC16" s="2"/>
      <c r="XD16" s="2"/>
      <c r="XE16" s="2"/>
      <c r="XF16" s="2"/>
      <c r="XG16" s="2"/>
      <c r="XH16" s="2"/>
      <c r="XI16" s="2"/>
      <c r="XJ16" s="2"/>
      <c r="XK16" s="2"/>
      <c r="XL16" s="2"/>
      <c r="XM16" s="2"/>
      <c r="XN16" s="2"/>
      <c r="XO16" s="2"/>
      <c r="XP16" s="2"/>
      <c r="XQ16" s="2"/>
      <c r="XR16" s="2"/>
      <c r="XS16" s="2"/>
      <c r="XT16" s="2"/>
      <c r="XU16" s="2"/>
      <c r="XV16" s="2"/>
      <c r="XW16" s="2"/>
      <c r="XX16" s="2"/>
      <c r="XY16" s="2"/>
      <c r="XZ16" s="2"/>
      <c r="YA16" s="2"/>
      <c r="YB16" s="2"/>
      <c r="YC16" s="2"/>
      <c r="YD16" s="2"/>
      <c r="YE16" s="2"/>
      <c r="YF16" s="2"/>
      <c r="YG16" s="2"/>
      <c r="YH16" s="2"/>
      <c r="YI16" s="2"/>
      <c r="YJ16" s="2"/>
      <c r="YK16" s="2"/>
      <c r="YL16" s="2"/>
      <c r="YM16" s="2"/>
      <c r="YN16" s="2"/>
      <c r="YO16" s="2"/>
      <c r="YP16" s="2"/>
      <c r="YQ16" s="2"/>
      <c r="YR16" s="2"/>
      <c r="YS16" s="2"/>
      <c r="YT16" s="2"/>
      <c r="YU16" s="2"/>
      <c r="YV16" s="2"/>
      <c r="YW16" s="2"/>
      <c r="YX16" s="2"/>
      <c r="YY16" s="2"/>
      <c r="YZ16" s="2"/>
      <c r="ZA16" s="2"/>
      <c r="ZB16" s="2"/>
      <c r="ZC16" s="2"/>
      <c r="ZD16" s="2"/>
      <c r="ZE16" s="2"/>
      <c r="ZF16" s="2"/>
      <c r="ZG16" s="2"/>
      <c r="ZH16" s="2"/>
      <c r="ZI16" s="2"/>
      <c r="ZJ16" s="2"/>
      <c r="ZK16" s="2"/>
      <c r="ZL16" s="2"/>
      <c r="ZM16" s="2"/>
      <c r="ZN16" s="2"/>
      <c r="ZO16" s="2"/>
      <c r="ZP16" s="2"/>
      <c r="ZQ16" s="2"/>
      <c r="ZR16" s="2"/>
      <c r="ZS16" s="2"/>
      <c r="ZT16" s="2"/>
      <c r="ZU16" s="2"/>
      <c r="ZV16" s="2"/>
      <c r="ZW16" s="2"/>
      <c r="ZX16" s="2"/>
      <c r="ZY16" s="2"/>
      <c r="ZZ16" s="2"/>
      <c r="AAA16" s="2"/>
      <c r="AAB16" s="2"/>
      <c r="AAC16" s="2"/>
      <c r="AAD16" s="2"/>
      <c r="AAE16" s="2"/>
      <c r="AAF16" s="2"/>
      <c r="AAG16" s="2"/>
      <c r="AAH16" s="2"/>
      <c r="AAI16" s="2"/>
      <c r="AAJ16" s="2"/>
      <c r="AAK16" s="2"/>
      <c r="AAL16" s="2"/>
      <c r="AAM16" s="2"/>
      <c r="AAN16" s="2"/>
      <c r="AAO16" s="2"/>
      <c r="AAP16" s="2"/>
      <c r="AAQ16" s="2"/>
      <c r="AAR16" s="2"/>
      <c r="AAS16" s="2"/>
      <c r="AAT16" s="2"/>
      <c r="AAU16" s="2"/>
      <c r="AAV16" s="2"/>
      <c r="AAW16" s="2"/>
      <c r="AAX16" s="2"/>
      <c r="AAY16" s="2"/>
      <c r="AAZ16" s="2"/>
      <c r="ABA16" s="2"/>
      <c r="ABB16" s="2"/>
      <c r="ABC16" s="2"/>
      <c r="ABD16" s="2"/>
      <c r="ABE16" s="2"/>
      <c r="ABF16" s="2"/>
      <c r="ABG16" s="2"/>
      <c r="ABH16" s="2"/>
      <c r="ABI16" s="2"/>
      <c r="ABJ16" s="2"/>
      <c r="ABK16" s="2"/>
      <c r="ABL16" s="2"/>
      <c r="ABM16" s="2"/>
      <c r="ABN16" s="2"/>
      <c r="ABO16" s="2"/>
      <c r="ABP16" s="2"/>
      <c r="ABQ16" s="2"/>
      <c r="ABR16" s="2"/>
      <c r="ABS16" s="2"/>
      <c r="ABT16" s="2"/>
      <c r="ABU16" s="2"/>
      <c r="ABV16" s="2"/>
      <c r="ABW16" s="2"/>
      <c r="ABX16" s="2"/>
      <c r="ABY16" s="2"/>
      <c r="ABZ16" s="2"/>
      <c r="ACA16" s="2"/>
      <c r="ACB16" s="2"/>
      <c r="ACC16" s="2"/>
      <c r="ACD16" s="2"/>
      <c r="ACE16" s="2"/>
      <c r="ACF16" s="2"/>
      <c r="ACG16" s="2"/>
      <c r="ACH16" s="2"/>
      <c r="ACI16" s="2"/>
      <c r="ACJ16" s="2"/>
      <c r="ACK16" s="2"/>
      <c r="ACL16" s="2"/>
      <c r="ACM16" s="2"/>
      <c r="ACN16" s="2"/>
      <c r="ACO16" s="2"/>
      <c r="ACP16" s="2"/>
      <c r="ACQ16" s="2"/>
      <c r="ACR16" s="2"/>
      <c r="ACS16" s="2"/>
      <c r="ACT16" s="2"/>
      <c r="ACU16" s="2"/>
      <c r="ACV16" s="2"/>
      <c r="ACW16" s="2"/>
      <c r="ACX16" s="2"/>
      <c r="ACY16" s="2"/>
      <c r="ACZ16" s="2"/>
      <c r="ADA16" s="2"/>
      <c r="ADB16" s="2"/>
      <c r="ADC16" s="2"/>
      <c r="ADD16" s="2"/>
      <c r="ADE16" s="2"/>
      <c r="ADF16" s="2"/>
      <c r="ADG16" s="2"/>
      <c r="ADH16" s="2"/>
      <c r="ADI16" s="2"/>
      <c r="ADJ16" s="2"/>
      <c r="ADK16" s="2"/>
      <c r="ADL16" s="2"/>
      <c r="ADM16" s="2"/>
      <c r="ADN16" s="2"/>
      <c r="ADO16" s="2"/>
      <c r="ADP16" s="2"/>
      <c r="ADQ16" s="2"/>
      <c r="ADR16" s="2"/>
      <c r="ADS16" s="2"/>
      <c r="ADT16" s="2"/>
      <c r="ADU16" s="2"/>
      <c r="ADV16" s="2"/>
      <c r="ADW16" s="2"/>
      <c r="ADX16" s="2"/>
      <c r="ADY16" s="2"/>
      <c r="ADZ16" s="2"/>
      <c r="AEA16" s="2"/>
      <c r="AEB16" s="2"/>
      <c r="AEC16" s="2"/>
      <c r="AED16" s="2"/>
      <c r="AEE16" s="2"/>
      <c r="AEF16" s="2"/>
      <c r="AEG16" s="2"/>
      <c r="AEH16" s="2"/>
      <c r="AEI16" s="2"/>
      <c r="AEJ16" s="2"/>
      <c r="AEK16" s="2"/>
      <c r="AEL16" s="2"/>
      <c r="AEM16" s="2"/>
      <c r="AEN16" s="2"/>
      <c r="AEO16" s="2"/>
      <c r="AEP16" s="2"/>
      <c r="AEQ16" s="2"/>
      <c r="AER16" s="2"/>
      <c r="AES16" s="2"/>
      <c r="AET16" s="2"/>
      <c r="AEU16" s="2"/>
      <c r="AEV16" s="2"/>
      <c r="AEW16" s="2"/>
      <c r="AEX16" s="2"/>
      <c r="AEY16" s="2"/>
      <c r="AEZ16" s="2"/>
      <c r="AFA16" s="2"/>
      <c r="AFB16" s="2"/>
      <c r="AFC16" s="2"/>
      <c r="AFD16" s="2"/>
      <c r="AFE16" s="2"/>
      <c r="AFF16" s="2"/>
      <c r="AFG16" s="2"/>
      <c r="AFH16" s="2"/>
      <c r="AFI16" s="2"/>
      <c r="AFJ16" s="2"/>
      <c r="AFK16" s="2"/>
      <c r="AFL16" s="2"/>
      <c r="AFM16" s="2"/>
      <c r="AFN16" s="2"/>
      <c r="AFO16" s="2"/>
      <c r="AFP16" s="2"/>
      <c r="AFQ16" s="2"/>
      <c r="AFR16" s="2"/>
      <c r="AFS16" s="2"/>
      <c r="AFT16" s="2"/>
      <c r="AFU16" s="2"/>
      <c r="AFV16" s="2"/>
      <c r="AFW16" s="2"/>
      <c r="AFX16" s="2"/>
      <c r="AFY16" s="2"/>
      <c r="AFZ16" s="2"/>
      <c r="AGA16" s="2"/>
      <c r="AGB16" s="2"/>
      <c r="AGC16" s="2"/>
      <c r="AGD16" s="2"/>
      <c r="AGE16" s="2"/>
      <c r="AGF16" s="2"/>
      <c r="AGG16" s="2"/>
      <c r="AGH16" s="2"/>
      <c r="AGI16" s="2"/>
      <c r="AGJ16" s="2"/>
      <c r="AGK16" s="2"/>
      <c r="AGL16" s="2"/>
      <c r="AGM16" s="2"/>
      <c r="AGN16" s="2"/>
      <c r="AGO16" s="2"/>
      <c r="AGP16" s="2"/>
      <c r="AGQ16" s="2"/>
      <c r="AGR16" s="2"/>
      <c r="AGS16" s="2"/>
      <c r="AGT16" s="2"/>
      <c r="AGU16" s="2"/>
      <c r="AGV16" s="2"/>
      <c r="AGW16" s="2"/>
      <c r="AGX16" s="2"/>
      <c r="AGY16" s="2"/>
      <c r="AGZ16" s="2"/>
      <c r="AHA16" s="2"/>
      <c r="AHB16" s="2"/>
      <c r="AHC16" s="2"/>
      <c r="AHD16" s="2"/>
      <c r="AHE16" s="2"/>
      <c r="AHF16" s="2"/>
      <c r="AHG16" s="2"/>
      <c r="AHH16" s="2"/>
      <c r="AHI16" s="2"/>
      <c r="AHJ16" s="2"/>
      <c r="AHK16" s="2"/>
      <c r="AHL16" s="2"/>
      <c r="AHM16" s="2"/>
      <c r="AHN16" s="2"/>
      <c r="AHO16" s="2"/>
      <c r="AHP16" s="2"/>
      <c r="AHQ16" s="2"/>
      <c r="AHR16" s="2"/>
      <c r="AHS16" s="2"/>
      <c r="AHT16" s="2"/>
      <c r="AHU16" s="2"/>
      <c r="AHV16" s="2"/>
      <c r="AHW16" s="2"/>
      <c r="AHX16" s="2"/>
      <c r="AHY16" s="2"/>
      <c r="AHZ16" s="2"/>
      <c r="AIA16" s="2"/>
      <c r="AIB16" s="2"/>
      <c r="AIC16" s="2"/>
      <c r="AID16" s="2"/>
      <c r="AIE16" s="2"/>
      <c r="AIF16" s="2"/>
      <c r="AIG16" s="2"/>
      <c r="AIH16" s="2"/>
      <c r="AII16" s="2"/>
      <c r="AIJ16" s="2"/>
      <c r="AIK16" s="2"/>
      <c r="AIL16" s="2"/>
      <c r="AIM16" s="2"/>
      <c r="AIN16" s="2"/>
      <c r="AIO16" s="2"/>
      <c r="AIP16" s="2"/>
      <c r="AIQ16" s="2"/>
      <c r="AIR16" s="2"/>
      <c r="AIS16" s="2"/>
      <c r="AIT16" s="2"/>
      <c r="AIU16" s="2"/>
      <c r="AIV16" s="2"/>
      <c r="AIW16" s="2"/>
      <c r="AIX16" s="2"/>
      <c r="AIY16" s="2"/>
      <c r="AIZ16" s="2"/>
      <c r="AJA16" s="2"/>
      <c r="AJB16" s="2"/>
      <c r="AJC16" s="2"/>
      <c r="AJD16" s="2"/>
      <c r="AJE16" s="2"/>
      <c r="AJF16" s="2"/>
      <c r="AJG16" s="2"/>
      <c r="AJH16" s="2"/>
      <c r="AJI16" s="2"/>
      <c r="AJJ16" s="2"/>
      <c r="AJK16" s="2"/>
      <c r="AJL16" s="2"/>
      <c r="AJM16" s="2"/>
      <c r="AJN16" s="2"/>
      <c r="AJO16" s="2"/>
      <c r="AJP16" s="2"/>
      <c r="AJQ16" s="2"/>
      <c r="AJR16" s="2"/>
      <c r="AJS16" s="2"/>
      <c r="AJT16" s="2"/>
      <c r="AJU16" s="2"/>
      <c r="AJV16" s="2"/>
      <c r="AJW16" s="2"/>
      <c r="AJX16" s="2"/>
      <c r="AJY16" s="2"/>
      <c r="AJZ16" s="2"/>
      <c r="AKA16" s="2"/>
    </row>
    <row r="17" spans="1:963">
      <c r="A17" s="16">
        <v>16</v>
      </c>
      <c r="B17" s="2">
        <v>3</v>
      </c>
      <c r="C17" s="9">
        <v>16.57</v>
      </c>
      <c r="D17" s="9">
        <v>14.22</v>
      </c>
      <c r="E17" s="9">
        <v>1.5</v>
      </c>
      <c r="F17" s="9">
        <v>0.38</v>
      </c>
      <c r="G17" s="9">
        <v>432</v>
      </c>
      <c r="H17" s="9">
        <f t="shared" si="3"/>
        <v>9.48</v>
      </c>
      <c r="I17" s="9">
        <f t="shared" si="0"/>
        <v>0.25333333333333335</v>
      </c>
      <c r="J17" s="9">
        <f t="shared" si="1"/>
        <v>288</v>
      </c>
      <c r="K17" s="9">
        <f t="shared" si="2"/>
        <v>4095.36</v>
      </c>
      <c r="L17" s="8">
        <v>18</v>
      </c>
      <c r="M17" s="9" t="s">
        <v>28</v>
      </c>
      <c r="N17" s="9">
        <v>3.5</v>
      </c>
      <c r="O17" s="9">
        <v>16.57</v>
      </c>
      <c r="P17" s="9">
        <v>14.22</v>
      </c>
      <c r="Q17" s="9">
        <v>1.5</v>
      </c>
      <c r="R17" s="9">
        <v>0.38</v>
      </c>
      <c r="S17" s="9">
        <v>0.39</v>
      </c>
      <c r="T17" s="9">
        <v>0</v>
      </c>
      <c r="U17" s="9">
        <v>0.08</v>
      </c>
      <c r="V17" s="9">
        <v>7.15</v>
      </c>
      <c r="W17" s="9">
        <v>105</v>
      </c>
      <c r="X17" s="9">
        <v>0.33</v>
      </c>
      <c r="Y17" s="9">
        <v>432</v>
      </c>
      <c r="Z17" s="9">
        <v>0.2</v>
      </c>
      <c r="AA17" s="9">
        <v>1.4999999999999999E-2</v>
      </c>
      <c r="AB17" s="9">
        <v>152.19999999999999</v>
      </c>
      <c r="AC17" s="9">
        <v>4.8600000000000003</v>
      </c>
      <c r="AD17" s="9">
        <v>120.5</v>
      </c>
      <c r="AE17" s="9">
        <v>2.8</v>
      </c>
      <c r="AF17" s="9">
        <v>1.33</v>
      </c>
      <c r="AG17" s="9">
        <v>32.049999999999997</v>
      </c>
      <c r="AH17" s="9">
        <v>296.60000000000002</v>
      </c>
      <c r="AI17" s="9">
        <v>16.899999999999999</v>
      </c>
      <c r="AJ17" s="9">
        <v>71.5</v>
      </c>
      <c r="AK17" s="9">
        <v>91.96</v>
      </c>
      <c r="AL17" s="9">
        <v>27.15</v>
      </c>
      <c r="AM17" s="24">
        <v>1.02</v>
      </c>
      <c r="AN17" s="24">
        <v>0.25900000000000001</v>
      </c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  <c r="JC17" s="2"/>
      <c r="JD17" s="2"/>
      <c r="JE17" s="2"/>
      <c r="JF17" s="2"/>
      <c r="JG17" s="2"/>
      <c r="JH17" s="2"/>
      <c r="JI17" s="2"/>
      <c r="JJ17" s="2"/>
      <c r="JK17" s="2"/>
      <c r="JL17" s="2"/>
      <c r="JM17" s="2"/>
      <c r="JN17" s="2"/>
      <c r="JO17" s="2"/>
      <c r="JP17" s="2"/>
      <c r="JQ17" s="2"/>
      <c r="JR17" s="2"/>
      <c r="JS17" s="2"/>
      <c r="JT17" s="2"/>
      <c r="JU17" s="2"/>
      <c r="JV17" s="2"/>
      <c r="JW17" s="2"/>
      <c r="JX17" s="2"/>
      <c r="JY17" s="2"/>
      <c r="JZ17" s="2"/>
      <c r="KA17" s="2"/>
      <c r="KB17" s="2"/>
      <c r="KC17" s="2"/>
      <c r="KD17" s="2"/>
      <c r="KE17" s="2"/>
      <c r="KF17" s="2"/>
      <c r="KG17" s="2"/>
      <c r="KH17" s="2"/>
      <c r="KI17" s="2"/>
      <c r="KJ17" s="2"/>
      <c r="KK17" s="2"/>
      <c r="KL17" s="2"/>
      <c r="KM17" s="2"/>
      <c r="KN17" s="2"/>
      <c r="KO17" s="2"/>
      <c r="KP17" s="2"/>
      <c r="KQ17" s="2"/>
      <c r="KR17" s="2"/>
      <c r="KS17" s="2"/>
      <c r="KT17" s="2"/>
      <c r="KU17" s="2"/>
      <c r="KV17" s="2"/>
      <c r="KW17" s="2"/>
      <c r="KX17" s="2"/>
      <c r="KY17" s="2"/>
      <c r="KZ17" s="2"/>
      <c r="LA17" s="2"/>
      <c r="LB17" s="2"/>
      <c r="LC17" s="2"/>
      <c r="LD17" s="2"/>
      <c r="LE17" s="2"/>
      <c r="LF17" s="2"/>
      <c r="LG17" s="2"/>
      <c r="LH17" s="2"/>
      <c r="LI17" s="2"/>
      <c r="LJ17" s="2"/>
      <c r="LK17" s="2"/>
      <c r="LL17" s="2"/>
      <c r="LM17" s="2"/>
      <c r="LN17" s="2"/>
      <c r="LO17" s="2"/>
      <c r="LP17" s="2"/>
      <c r="LQ17" s="2"/>
      <c r="LR17" s="2"/>
      <c r="LS17" s="2"/>
      <c r="LT17" s="2"/>
      <c r="LU17" s="2"/>
      <c r="LV17" s="2"/>
      <c r="LW17" s="2"/>
      <c r="LX17" s="2"/>
      <c r="LY17" s="2"/>
      <c r="LZ17" s="2"/>
      <c r="MA17" s="2"/>
      <c r="MB17" s="2"/>
      <c r="MC17" s="2"/>
      <c r="MD17" s="2"/>
      <c r="ME17" s="2"/>
      <c r="MF17" s="2"/>
      <c r="MG17" s="2"/>
      <c r="MH17" s="2"/>
      <c r="MI17" s="2"/>
      <c r="MJ17" s="2"/>
      <c r="MK17" s="2"/>
      <c r="ML17" s="2"/>
      <c r="MM17" s="2"/>
      <c r="MN17" s="2"/>
      <c r="MO17" s="2"/>
      <c r="MP17" s="2"/>
      <c r="MQ17" s="2"/>
      <c r="MR17" s="2"/>
      <c r="MS17" s="2"/>
      <c r="MT17" s="2"/>
      <c r="MU17" s="2"/>
      <c r="MV17" s="2"/>
      <c r="MW17" s="2"/>
      <c r="MX17" s="2"/>
      <c r="MY17" s="2"/>
      <c r="MZ17" s="2"/>
      <c r="NA17" s="2"/>
      <c r="NB17" s="2"/>
      <c r="NC17" s="2"/>
      <c r="ND17" s="2"/>
      <c r="NE17" s="2"/>
      <c r="NF17" s="2"/>
      <c r="NG17" s="2"/>
      <c r="NH17" s="2"/>
      <c r="NI17" s="2"/>
      <c r="NJ17" s="2"/>
      <c r="NK17" s="2"/>
      <c r="NL17" s="2"/>
      <c r="NM17" s="2"/>
      <c r="NN17" s="2"/>
      <c r="NO17" s="2"/>
      <c r="NP17" s="2"/>
      <c r="NQ17" s="2"/>
      <c r="NR17" s="2"/>
      <c r="NS17" s="2"/>
      <c r="NT17" s="2"/>
      <c r="NU17" s="2"/>
      <c r="NV17" s="2"/>
      <c r="NW17" s="2"/>
      <c r="NX17" s="2"/>
      <c r="NY17" s="2"/>
      <c r="NZ17" s="2"/>
      <c r="OA17" s="2"/>
      <c r="OB17" s="2"/>
      <c r="OC17" s="2"/>
      <c r="OD17" s="2"/>
      <c r="OE17" s="2"/>
      <c r="OF17" s="2"/>
      <c r="OG17" s="2"/>
      <c r="OH17" s="2"/>
      <c r="OI17" s="2"/>
      <c r="OJ17" s="2"/>
      <c r="OK17" s="2"/>
      <c r="OL17" s="2"/>
      <c r="OM17" s="2"/>
      <c r="ON17" s="2"/>
      <c r="OO17" s="2"/>
      <c r="OP17" s="2"/>
      <c r="OQ17" s="2"/>
      <c r="OR17" s="2"/>
      <c r="OS17" s="2"/>
      <c r="OT17" s="2"/>
      <c r="OU17" s="2"/>
      <c r="OV17" s="2"/>
      <c r="OW17" s="2"/>
      <c r="OX17" s="2"/>
      <c r="OY17" s="2"/>
      <c r="OZ17" s="2"/>
      <c r="PA17" s="2"/>
      <c r="PB17" s="2"/>
      <c r="PC17" s="2"/>
      <c r="PD17" s="2"/>
      <c r="PE17" s="2"/>
      <c r="PF17" s="2"/>
      <c r="PG17" s="2"/>
      <c r="PH17" s="2"/>
      <c r="PI17" s="2"/>
      <c r="PJ17" s="2"/>
      <c r="PK17" s="2"/>
      <c r="PL17" s="2"/>
      <c r="PM17" s="2"/>
      <c r="PN17" s="2"/>
      <c r="PO17" s="2"/>
      <c r="PP17" s="2"/>
      <c r="PQ17" s="2"/>
      <c r="PR17" s="2"/>
      <c r="PS17" s="2"/>
      <c r="PT17" s="2"/>
      <c r="PU17" s="2"/>
      <c r="PV17" s="2"/>
      <c r="PW17" s="2"/>
      <c r="PX17" s="2"/>
      <c r="PY17" s="2"/>
      <c r="PZ17" s="2"/>
      <c r="QA17" s="2"/>
      <c r="QB17" s="2"/>
      <c r="QC17" s="2"/>
      <c r="QD17" s="2"/>
      <c r="QE17" s="2"/>
      <c r="QF17" s="2"/>
      <c r="QG17" s="2"/>
      <c r="QH17" s="2"/>
      <c r="QI17" s="2"/>
      <c r="QJ17" s="2"/>
      <c r="QK17" s="2"/>
      <c r="QL17" s="2"/>
      <c r="QM17" s="2"/>
      <c r="QN17" s="2"/>
      <c r="QO17" s="2"/>
      <c r="QP17" s="2"/>
      <c r="QQ17" s="2"/>
      <c r="QR17" s="2"/>
      <c r="QS17" s="2"/>
      <c r="QT17" s="2"/>
      <c r="QU17" s="2"/>
      <c r="QV17" s="2"/>
      <c r="QW17" s="2"/>
      <c r="QX17" s="2"/>
      <c r="QY17" s="2"/>
      <c r="QZ17" s="2"/>
      <c r="RA17" s="2"/>
      <c r="RB17" s="2"/>
      <c r="RC17" s="2"/>
      <c r="RD17" s="2"/>
      <c r="RE17" s="2"/>
      <c r="RF17" s="2"/>
      <c r="RG17" s="2"/>
      <c r="RH17" s="2"/>
      <c r="RI17" s="2"/>
      <c r="RJ17" s="2"/>
      <c r="RK17" s="2"/>
      <c r="RL17" s="2"/>
      <c r="RM17" s="2"/>
      <c r="RN17" s="2"/>
      <c r="RO17" s="2"/>
      <c r="RP17" s="2"/>
      <c r="RQ17" s="2"/>
      <c r="RR17" s="2"/>
      <c r="RS17" s="2"/>
      <c r="RT17" s="2"/>
      <c r="RU17" s="2"/>
      <c r="RV17" s="2"/>
      <c r="RW17" s="2"/>
      <c r="RX17" s="2"/>
      <c r="RY17" s="2"/>
      <c r="RZ17" s="2"/>
      <c r="SA17" s="2"/>
      <c r="SB17" s="2"/>
      <c r="SC17" s="2"/>
      <c r="SD17" s="2"/>
      <c r="SE17" s="2"/>
      <c r="SF17" s="2"/>
      <c r="SG17" s="2"/>
      <c r="SH17" s="2"/>
      <c r="SI17" s="2"/>
      <c r="SJ17" s="2"/>
      <c r="SK17" s="2"/>
      <c r="SL17" s="2"/>
      <c r="SM17" s="2"/>
      <c r="SN17" s="2"/>
      <c r="SO17" s="2"/>
      <c r="SP17" s="2"/>
      <c r="SQ17" s="2"/>
      <c r="SR17" s="2"/>
      <c r="SS17" s="2"/>
      <c r="ST17" s="2"/>
      <c r="SU17" s="2"/>
      <c r="SV17" s="2"/>
      <c r="SW17" s="2"/>
      <c r="SX17" s="2"/>
      <c r="SY17" s="2"/>
      <c r="SZ17" s="2"/>
      <c r="TA17" s="2"/>
      <c r="TB17" s="2"/>
      <c r="TC17" s="2"/>
      <c r="TD17" s="2"/>
      <c r="TE17" s="2"/>
      <c r="TF17" s="2"/>
      <c r="TG17" s="2"/>
      <c r="TH17" s="2"/>
      <c r="TI17" s="2"/>
      <c r="TJ17" s="2"/>
      <c r="TK17" s="2"/>
      <c r="TL17" s="2"/>
      <c r="TM17" s="2"/>
      <c r="TN17" s="2"/>
      <c r="TO17" s="2"/>
      <c r="TP17" s="2"/>
      <c r="TQ17" s="2"/>
      <c r="TR17" s="2"/>
      <c r="TS17" s="2"/>
      <c r="TT17" s="2"/>
      <c r="TU17" s="2"/>
      <c r="TV17" s="2"/>
      <c r="TW17" s="2"/>
      <c r="TX17" s="2"/>
      <c r="TY17" s="2"/>
      <c r="TZ17" s="2"/>
      <c r="UA17" s="2"/>
      <c r="UB17" s="2"/>
      <c r="UC17" s="2"/>
      <c r="UD17" s="2"/>
      <c r="UE17" s="2"/>
      <c r="UF17" s="2"/>
      <c r="UG17" s="2"/>
      <c r="UH17" s="2"/>
      <c r="UI17" s="2"/>
      <c r="UJ17" s="2"/>
      <c r="UK17" s="2"/>
      <c r="UL17" s="2"/>
      <c r="UM17" s="2"/>
      <c r="UN17" s="2"/>
      <c r="UO17" s="2"/>
      <c r="UP17" s="2"/>
      <c r="UQ17" s="2"/>
      <c r="UR17" s="2"/>
      <c r="US17" s="2"/>
      <c r="UT17" s="2"/>
      <c r="UU17" s="2"/>
      <c r="UV17" s="2"/>
      <c r="UW17" s="2"/>
      <c r="UX17" s="2"/>
      <c r="UY17" s="2"/>
      <c r="UZ17" s="2"/>
      <c r="VA17" s="2"/>
      <c r="VB17" s="2"/>
      <c r="VC17" s="2"/>
      <c r="VD17" s="2"/>
      <c r="VE17" s="2"/>
      <c r="VF17" s="2"/>
      <c r="VG17" s="2"/>
      <c r="VH17" s="2"/>
      <c r="VI17" s="2"/>
      <c r="VJ17" s="2"/>
      <c r="VK17" s="2"/>
      <c r="VL17" s="2"/>
      <c r="VM17" s="2"/>
      <c r="VN17" s="2"/>
      <c r="VO17" s="2"/>
      <c r="VP17" s="2"/>
      <c r="VQ17" s="2"/>
      <c r="VR17" s="2"/>
      <c r="VS17" s="2"/>
      <c r="VT17" s="2"/>
      <c r="VU17" s="2"/>
      <c r="VV17" s="2"/>
      <c r="VW17" s="2"/>
      <c r="VX17" s="2"/>
      <c r="VY17" s="2"/>
      <c r="VZ17" s="2"/>
      <c r="WA17" s="2"/>
      <c r="WB17" s="2"/>
      <c r="WC17" s="2"/>
      <c r="WD17" s="2"/>
      <c r="WE17" s="2"/>
      <c r="WF17" s="2"/>
      <c r="WG17" s="2"/>
      <c r="WH17" s="2"/>
      <c r="WI17" s="2"/>
      <c r="WJ17" s="2"/>
      <c r="WK17" s="2"/>
      <c r="WL17" s="2"/>
      <c r="WM17" s="2"/>
      <c r="WN17" s="2"/>
      <c r="WO17" s="2"/>
      <c r="WP17" s="2"/>
      <c r="WQ17" s="2"/>
      <c r="WR17" s="2"/>
      <c r="WS17" s="2"/>
      <c r="WT17" s="2"/>
      <c r="WU17" s="2"/>
      <c r="WV17" s="2"/>
      <c r="WW17" s="2"/>
      <c r="WX17" s="2"/>
      <c r="WY17" s="2"/>
      <c r="WZ17" s="2"/>
      <c r="XA17" s="2"/>
      <c r="XB17" s="2"/>
      <c r="XC17" s="2"/>
      <c r="XD17" s="2"/>
      <c r="XE17" s="2"/>
      <c r="XF17" s="2"/>
      <c r="XG17" s="2"/>
      <c r="XH17" s="2"/>
      <c r="XI17" s="2"/>
      <c r="XJ17" s="2"/>
      <c r="XK17" s="2"/>
      <c r="XL17" s="2"/>
      <c r="XM17" s="2"/>
      <c r="XN17" s="2"/>
      <c r="XO17" s="2"/>
      <c r="XP17" s="2"/>
      <c r="XQ17" s="2"/>
      <c r="XR17" s="2"/>
      <c r="XS17" s="2"/>
      <c r="XT17" s="2"/>
      <c r="XU17" s="2"/>
      <c r="XV17" s="2"/>
      <c r="XW17" s="2"/>
      <c r="XX17" s="2"/>
      <c r="XY17" s="2"/>
      <c r="XZ17" s="2"/>
      <c r="YA17" s="2"/>
      <c r="YB17" s="2"/>
      <c r="YC17" s="2"/>
      <c r="YD17" s="2"/>
      <c r="YE17" s="2"/>
      <c r="YF17" s="2"/>
      <c r="YG17" s="2"/>
      <c r="YH17" s="2"/>
      <c r="YI17" s="2"/>
      <c r="YJ17" s="2"/>
      <c r="YK17" s="2"/>
      <c r="YL17" s="2"/>
      <c r="YM17" s="2"/>
      <c r="YN17" s="2"/>
      <c r="YO17" s="2"/>
      <c r="YP17" s="2"/>
      <c r="YQ17" s="2"/>
      <c r="YR17" s="2"/>
      <c r="YS17" s="2"/>
      <c r="YT17" s="2"/>
      <c r="YU17" s="2"/>
      <c r="YV17" s="2"/>
      <c r="YW17" s="2"/>
      <c r="YX17" s="2"/>
      <c r="YY17" s="2"/>
      <c r="YZ17" s="2"/>
      <c r="ZA17" s="2"/>
      <c r="ZB17" s="2"/>
      <c r="ZC17" s="2"/>
      <c r="ZD17" s="2"/>
      <c r="ZE17" s="2"/>
      <c r="ZF17" s="2"/>
      <c r="ZG17" s="2"/>
      <c r="ZH17" s="2"/>
      <c r="ZI17" s="2"/>
      <c r="ZJ17" s="2"/>
      <c r="ZK17" s="2"/>
      <c r="ZL17" s="2"/>
      <c r="ZM17" s="2"/>
      <c r="ZN17" s="2"/>
      <c r="ZO17" s="2"/>
      <c r="ZP17" s="2"/>
      <c r="ZQ17" s="2"/>
      <c r="ZR17" s="2"/>
      <c r="ZS17" s="2"/>
      <c r="ZT17" s="2"/>
      <c r="ZU17" s="2"/>
      <c r="ZV17" s="2"/>
      <c r="ZW17" s="2"/>
      <c r="ZX17" s="2"/>
      <c r="ZY17" s="2"/>
      <c r="ZZ17" s="2"/>
      <c r="AAA17" s="2"/>
      <c r="AAB17" s="2"/>
      <c r="AAC17" s="2"/>
      <c r="AAD17" s="2"/>
      <c r="AAE17" s="2"/>
      <c r="AAF17" s="2"/>
      <c r="AAG17" s="2"/>
      <c r="AAH17" s="2"/>
      <c r="AAI17" s="2"/>
      <c r="AAJ17" s="2"/>
      <c r="AAK17" s="2"/>
      <c r="AAL17" s="2"/>
      <c r="AAM17" s="2"/>
      <c r="AAN17" s="2"/>
      <c r="AAO17" s="2"/>
      <c r="AAP17" s="2"/>
      <c r="AAQ17" s="2"/>
      <c r="AAR17" s="2"/>
      <c r="AAS17" s="2"/>
      <c r="AAT17" s="2"/>
      <c r="AAU17" s="2"/>
      <c r="AAV17" s="2"/>
      <c r="AAW17" s="2"/>
      <c r="AAX17" s="2"/>
      <c r="AAY17" s="2"/>
      <c r="AAZ17" s="2"/>
      <c r="ABA17" s="2"/>
      <c r="ABB17" s="2"/>
      <c r="ABC17" s="2"/>
      <c r="ABD17" s="2"/>
      <c r="ABE17" s="2"/>
      <c r="ABF17" s="2"/>
      <c r="ABG17" s="2"/>
      <c r="ABH17" s="2"/>
      <c r="ABI17" s="2"/>
      <c r="ABJ17" s="2"/>
      <c r="ABK17" s="2"/>
      <c r="ABL17" s="2"/>
      <c r="ABM17" s="2"/>
      <c r="ABN17" s="2"/>
      <c r="ABO17" s="2"/>
      <c r="ABP17" s="2"/>
      <c r="ABQ17" s="2"/>
      <c r="ABR17" s="2"/>
      <c r="ABS17" s="2"/>
      <c r="ABT17" s="2"/>
      <c r="ABU17" s="2"/>
      <c r="ABV17" s="2"/>
      <c r="ABW17" s="2"/>
      <c r="ABX17" s="2"/>
      <c r="ABY17" s="2"/>
      <c r="ABZ17" s="2"/>
      <c r="ACA17" s="2"/>
      <c r="ACB17" s="2"/>
      <c r="ACC17" s="2"/>
      <c r="ACD17" s="2"/>
      <c r="ACE17" s="2"/>
      <c r="ACF17" s="2"/>
      <c r="ACG17" s="2"/>
      <c r="ACH17" s="2"/>
      <c r="ACI17" s="2"/>
      <c r="ACJ17" s="2"/>
      <c r="ACK17" s="2"/>
      <c r="ACL17" s="2"/>
      <c r="ACM17" s="2"/>
      <c r="ACN17" s="2"/>
      <c r="ACO17" s="2"/>
      <c r="ACP17" s="2"/>
      <c r="ACQ17" s="2"/>
      <c r="ACR17" s="2"/>
      <c r="ACS17" s="2"/>
      <c r="ACT17" s="2"/>
      <c r="ACU17" s="2"/>
      <c r="ACV17" s="2"/>
      <c r="ACW17" s="2"/>
      <c r="ACX17" s="2"/>
      <c r="ACY17" s="2"/>
      <c r="ACZ17" s="2"/>
      <c r="ADA17" s="2"/>
      <c r="ADB17" s="2"/>
      <c r="ADC17" s="2"/>
      <c r="ADD17" s="2"/>
      <c r="ADE17" s="2"/>
      <c r="ADF17" s="2"/>
      <c r="ADG17" s="2"/>
      <c r="ADH17" s="2"/>
      <c r="ADI17" s="2"/>
      <c r="ADJ17" s="2"/>
      <c r="ADK17" s="2"/>
      <c r="ADL17" s="2"/>
      <c r="ADM17" s="2"/>
      <c r="ADN17" s="2"/>
      <c r="ADO17" s="2"/>
      <c r="ADP17" s="2"/>
      <c r="ADQ17" s="2"/>
      <c r="ADR17" s="2"/>
      <c r="ADS17" s="2"/>
      <c r="ADT17" s="2"/>
      <c r="ADU17" s="2"/>
      <c r="ADV17" s="2"/>
      <c r="ADW17" s="2"/>
      <c r="ADX17" s="2"/>
      <c r="ADY17" s="2"/>
      <c r="ADZ17" s="2"/>
      <c r="AEA17" s="2"/>
      <c r="AEB17" s="2"/>
      <c r="AEC17" s="2"/>
      <c r="AED17" s="2"/>
      <c r="AEE17" s="2"/>
      <c r="AEF17" s="2"/>
      <c r="AEG17" s="2"/>
      <c r="AEH17" s="2"/>
      <c r="AEI17" s="2"/>
      <c r="AEJ17" s="2"/>
      <c r="AEK17" s="2"/>
      <c r="AEL17" s="2"/>
      <c r="AEM17" s="2"/>
      <c r="AEN17" s="2"/>
      <c r="AEO17" s="2"/>
      <c r="AEP17" s="2"/>
      <c r="AEQ17" s="2"/>
      <c r="AER17" s="2"/>
      <c r="AES17" s="2"/>
      <c r="AET17" s="2"/>
      <c r="AEU17" s="2"/>
      <c r="AEV17" s="2"/>
      <c r="AEW17" s="2"/>
      <c r="AEX17" s="2"/>
      <c r="AEY17" s="2"/>
      <c r="AEZ17" s="2"/>
      <c r="AFA17" s="2"/>
      <c r="AFB17" s="2"/>
      <c r="AFC17" s="2"/>
      <c r="AFD17" s="2"/>
      <c r="AFE17" s="2"/>
      <c r="AFF17" s="2"/>
      <c r="AFG17" s="2"/>
      <c r="AFH17" s="2"/>
      <c r="AFI17" s="2"/>
      <c r="AFJ17" s="2"/>
      <c r="AFK17" s="2"/>
      <c r="AFL17" s="2"/>
      <c r="AFM17" s="2"/>
      <c r="AFN17" s="2"/>
      <c r="AFO17" s="2"/>
      <c r="AFP17" s="2"/>
      <c r="AFQ17" s="2"/>
      <c r="AFR17" s="2"/>
      <c r="AFS17" s="2"/>
      <c r="AFT17" s="2"/>
      <c r="AFU17" s="2"/>
      <c r="AFV17" s="2"/>
      <c r="AFW17" s="2"/>
      <c r="AFX17" s="2"/>
      <c r="AFY17" s="2"/>
      <c r="AFZ17" s="2"/>
      <c r="AGA17" s="2"/>
      <c r="AGB17" s="2"/>
      <c r="AGC17" s="2"/>
      <c r="AGD17" s="2"/>
      <c r="AGE17" s="2"/>
      <c r="AGF17" s="2"/>
      <c r="AGG17" s="2"/>
      <c r="AGH17" s="2"/>
      <c r="AGI17" s="2"/>
      <c r="AGJ17" s="2"/>
      <c r="AGK17" s="2"/>
      <c r="AGL17" s="2"/>
      <c r="AGM17" s="2"/>
      <c r="AGN17" s="2"/>
      <c r="AGO17" s="2"/>
      <c r="AGP17" s="2"/>
      <c r="AGQ17" s="2"/>
      <c r="AGR17" s="2"/>
      <c r="AGS17" s="2"/>
      <c r="AGT17" s="2"/>
      <c r="AGU17" s="2"/>
      <c r="AGV17" s="2"/>
      <c r="AGW17" s="2"/>
      <c r="AGX17" s="2"/>
      <c r="AGY17" s="2"/>
      <c r="AGZ17" s="2"/>
      <c r="AHA17" s="2"/>
      <c r="AHB17" s="2"/>
      <c r="AHC17" s="2"/>
      <c r="AHD17" s="2"/>
      <c r="AHE17" s="2"/>
      <c r="AHF17" s="2"/>
      <c r="AHG17" s="2"/>
      <c r="AHH17" s="2"/>
      <c r="AHI17" s="2"/>
      <c r="AHJ17" s="2"/>
      <c r="AHK17" s="2"/>
      <c r="AHL17" s="2"/>
      <c r="AHM17" s="2"/>
      <c r="AHN17" s="2"/>
      <c r="AHO17" s="2"/>
      <c r="AHP17" s="2"/>
      <c r="AHQ17" s="2"/>
      <c r="AHR17" s="2"/>
      <c r="AHS17" s="2"/>
      <c r="AHT17" s="2"/>
      <c r="AHU17" s="2"/>
      <c r="AHV17" s="2"/>
      <c r="AHW17" s="2"/>
      <c r="AHX17" s="2"/>
      <c r="AHY17" s="2"/>
      <c r="AHZ17" s="2"/>
      <c r="AIA17" s="2"/>
      <c r="AIB17" s="2"/>
      <c r="AIC17" s="2"/>
      <c r="AID17" s="2"/>
      <c r="AIE17" s="2"/>
      <c r="AIF17" s="2"/>
      <c r="AIG17" s="2"/>
      <c r="AIH17" s="2"/>
      <c r="AII17" s="2"/>
      <c r="AIJ17" s="2"/>
      <c r="AIK17" s="2"/>
      <c r="AIL17" s="2"/>
      <c r="AIM17" s="2"/>
      <c r="AIN17" s="2"/>
      <c r="AIO17" s="2"/>
      <c r="AIP17" s="2"/>
      <c r="AIQ17" s="2"/>
      <c r="AIR17" s="2"/>
      <c r="AIS17" s="2"/>
      <c r="AIT17" s="2"/>
      <c r="AIU17" s="2"/>
      <c r="AIV17" s="2"/>
      <c r="AIW17" s="2"/>
      <c r="AIX17" s="2"/>
      <c r="AIY17" s="2"/>
      <c r="AIZ17" s="2"/>
      <c r="AJA17" s="2"/>
      <c r="AJB17" s="2"/>
      <c r="AJC17" s="2"/>
      <c r="AJD17" s="2"/>
      <c r="AJE17" s="2"/>
      <c r="AJF17" s="2"/>
      <c r="AJG17" s="2"/>
      <c r="AJH17" s="2"/>
      <c r="AJI17" s="2"/>
      <c r="AJJ17" s="2"/>
      <c r="AJK17" s="2"/>
      <c r="AJL17" s="2"/>
      <c r="AJM17" s="2"/>
      <c r="AJN17" s="2"/>
      <c r="AJO17" s="2"/>
      <c r="AJP17" s="2"/>
      <c r="AJQ17" s="2"/>
      <c r="AJR17" s="2"/>
      <c r="AJS17" s="2"/>
      <c r="AJT17" s="2"/>
      <c r="AJU17" s="2"/>
      <c r="AJV17" s="2"/>
      <c r="AJW17" s="2"/>
      <c r="AJX17" s="2"/>
      <c r="AJY17" s="2"/>
      <c r="AJZ17" s="2"/>
      <c r="AKA17" s="2"/>
    </row>
    <row r="18" spans="1:963">
      <c r="A18" s="7">
        <v>17</v>
      </c>
      <c r="B18" s="2">
        <v>3</v>
      </c>
      <c r="C18" s="9">
        <v>12</v>
      </c>
      <c r="D18" s="9">
        <v>9.56</v>
      </c>
      <c r="E18" s="9">
        <v>1.71</v>
      </c>
      <c r="F18" s="9">
        <v>0.41</v>
      </c>
      <c r="G18" s="9">
        <v>329</v>
      </c>
      <c r="H18" s="9">
        <f t="shared" si="3"/>
        <v>5.590643274853802</v>
      </c>
      <c r="I18" s="9">
        <f t="shared" si="0"/>
        <v>0.23976608187134502</v>
      </c>
      <c r="J18" s="9">
        <f t="shared" si="1"/>
        <v>192.39766081871346</v>
      </c>
      <c r="K18" s="9">
        <f t="shared" si="2"/>
        <v>1839.3216374269007</v>
      </c>
      <c r="L18" s="8">
        <v>13</v>
      </c>
      <c r="M18" s="9" t="s">
        <v>26</v>
      </c>
      <c r="N18" s="9">
        <v>2.96</v>
      </c>
      <c r="O18" s="9">
        <v>12</v>
      </c>
      <c r="P18" s="9">
        <v>9.56</v>
      </c>
      <c r="Q18" s="9">
        <v>1.71</v>
      </c>
      <c r="R18" s="9">
        <v>0.41</v>
      </c>
      <c r="S18" s="9">
        <v>0.3</v>
      </c>
      <c r="T18" s="9">
        <v>0</v>
      </c>
      <c r="U18" s="9">
        <v>0.02</v>
      </c>
      <c r="V18" s="9">
        <v>6.59</v>
      </c>
      <c r="W18" s="9">
        <v>79</v>
      </c>
      <c r="X18" s="9">
        <v>0.26</v>
      </c>
      <c r="Y18" s="9">
        <v>329</v>
      </c>
      <c r="Z18" s="9">
        <v>1.0999999999999999E-2</v>
      </c>
      <c r="AA18" s="9">
        <v>1.0999999999999999E-2</v>
      </c>
      <c r="AB18" s="9">
        <v>149.30000000000001</v>
      </c>
      <c r="AC18" s="9">
        <v>3.92</v>
      </c>
      <c r="AD18" s="9">
        <v>119.4</v>
      </c>
      <c r="AE18" s="9">
        <v>2.61</v>
      </c>
      <c r="AF18" s="9">
        <v>2.48</v>
      </c>
      <c r="AG18" s="9">
        <v>19.899999999999999</v>
      </c>
      <c r="AH18" s="9">
        <v>285.3</v>
      </c>
      <c r="AI18" s="9">
        <v>14.1</v>
      </c>
      <c r="AJ18" s="9">
        <v>54.6</v>
      </c>
      <c r="AK18" s="9">
        <v>68</v>
      </c>
      <c r="AL18" s="9">
        <v>29.3</v>
      </c>
      <c r="AM18" s="24">
        <v>1.03</v>
      </c>
      <c r="AN18" s="24">
        <v>0.36399999999999999</v>
      </c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  <c r="JC18" s="2"/>
      <c r="JD18" s="2"/>
      <c r="JE18" s="2"/>
      <c r="JF18" s="2"/>
      <c r="JG18" s="2"/>
      <c r="JH18" s="2"/>
      <c r="JI18" s="2"/>
      <c r="JJ18" s="2"/>
      <c r="JK18" s="2"/>
      <c r="JL18" s="2"/>
      <c r="JM18" s="2"/>
      <c r="JN18" s="2"/>
      <c r="JO18" s="2"/>
      <c r="JP18" s="2"/>
      <c r="JQ18" s="2"/>
      <c r="JR18" s="2"/>
      <c r="JS18" s="2"/>
      <c r="JT18" s="2"/>
      <c r="JU18" s="2"/>
      <c r="JV18" s="2"/>
      <c r="JW18" s="2"/>
      <c r="JX18" s="2"/>
      <c r="JY18" s="2"/>
      <c r="JZ18" s="2"/>
      <c r="KA18" s="2"/>
      <c r="KB18" s="2"/>
      <c r="KC18" s="2"/>
      <c r="KD18" s="2"/>
      <c r="KE18" s="2"/>
      <c r="KF18" s="2"/>
      <c r="KG18" s="2"/>
      <c r="KH18" s="2"/>
      <c r="KI18" s="2"/>
      <c r="KJ18" s="2"/>
      <c r="KK18" s="2"/>
      <c r="KL18" s="2"/>
      <c r="KM18" s="2"/>
      <c r="KN18" s="2"/>
      <c r="KO18" s="2"/>
      <c r="KP18" s="2"/>
      <c r="KQ18" s="2"/>
      <c r="KR18" s="2"/>
      <c r="KS18" s="2"/>
      <c r="KT18" s="2"/>
      <c r="KU18" s="2"/>
      <c r="KV18" s="2"/>
      <c r="KW18" s="2"/>
      <c r="KX18" s="2"/>
      <c r="KY18" s="2"/>
      <c r="KZ18" s="2"/>
      <c r="LA18" s="2"/>
      <c r="LB18" s="2"/>
      <c r="LC18" s="2"/>
      <c r="LD18" s="2"/>
      <c r="LE18" s="2"/>
      <c r="LF18" s="2"/>
      <c r="LG18" s="2"/>
      <c r="LH18" s="2"/>
      <c r="LI18" s="2"/>
      <c r="LJ18" s="2"/>
      <c r="LK18" s="2"/>
      <c r="LL18" s="2"/>
      <c r="LM18" s="2"/>
      <c r="LN18" s="2"/>
      <c r="LO18" s="2"/>
      <c r="LP18" s="2"/>
      <c r="LQ18" s="2"/>
      <c r="LR18" s="2"/>
      <c r="LS18" s="2"/>
      <c r="LT18" s="2"/>
      <c r="LU18" s="2"/>
      <c r="LV18" s="2"/>
      <c r="LW18" s="2"/>
      <c r="LX18" s="2"/>
      <c r="LY18" s="2"/>
      <c r="LZ18" s="2"/>
      <c r="MA18" s="2"/>
      <c r="MB18" s="2"/>
      <c r="MC18" s="2"/>
      <c r="MD18" s="2"/>
      <c r="ME18" s="2"/>
      <c r="MF18" s="2"/>
      <c r="MG18" s="2"/>
      <c r="MH18" s="2"/>
      <c r="MI18" s="2"/>
      <c r="MJ18" s="2"/>
      <c r="MK18" s="2"/>
      <c r="ML18" s="2"/>
      <c r="MM18" s="2"/>
      <c r="MN18" s="2"/>
      <c r="MO18" s="2"/>
      <c r="MP18" s="2"/>
      <c r="MQ18" s="2"/>
      <c r="MR18" s="2"/>
      <c r="MS18" s="2"/>
      <c r="MT18" s="2"/>
      <c r="MU18" s="2"/>
      <c r="MV18" s="2"/>
      <c r="MW18" s="2"/>
      <c r="MX18" s="2"/>
      <c r="MY18" s="2"/>
      <c r="MZ18" s="2"/>
      <c r="NA18" s="2"/>
      <c r="NB18" s="2"/>
      <c r="NC18" s="2"/>
      <c r="ND18" s="2"/>
      <c r="NE18" s="2"/>
      <c r="NF18" s="2"/>
      <c r="NG18" s="2"/>
      <c r="NH18" s="2"/>
      <c r="NI18" s="2"/>
      <c r="NJ18" s="2"/>
      <c r="NK18" s="2"/>
      <c r="NL18" s="2"/>
      <c r="NM18" s="2"/>
      <c r="NN18" s="2"/>
      <c r="NO18" s="2"/>
      <c r="NP18" s="2"/>
      <c r="NQ18" s="2"/>
      <c r="NR18" s="2"/>
      <c r="NS18" s="2"/>
      <c r="NT18" s="2"/>
      <c r="NU18" s="2"/>
      <c r="NV18" s="2"/>
      <c r="NW18" s="2"/>
      <c r="NX18" s="2"/>
      <c r="NY18" s="2"/>
      <c r="NZ18" s="2"/>
      <c r="OA18" s="2"/>
      <c r="OB18" s="2"/>
      <c r="OC18" s="2"/>
      <c r="OD18" s="2"/>
      <c r="OE18" s="2"/>
      <c r="OF18" s="2"/>
      <c r="OG18" s="2"/>
      <c r="OH18" s="2"/>
      <c r="OI18" s="2"/>
      <c r="OJ18" s="2"/>
      <c r="OK18" s="2"/>
      <c r="OL18" s="2"/>
      <c r="OM18" s="2"/>
      <c r="ON18" s="2"/>
      <c r="OO18" s="2"/>
      <c r="OP18" s="2"/>
      <c r="OQ18" s="2"/>
      <c r="OR18" s="2"/>
      <c r="OS18" s="2"/>
      <c r="OT18" s="2"/>
      <c r="OU18" s="2"/>
      <c r="OV18" s="2"/>
      <c r="OW18" s="2"/>
      <c r="OX18" s="2"/>
      <c r="OY18" s="2"/>
      <c r="OZ18" s="2"/>
      <c r="PA18" s="2"/>
      <c r="PB18" s="2"/>
      <c r="PC18" s="2"/>
      <c r="PD18" s="2"/>
      <c r="PE18" s="2"/>
      <c r="PF18" s="2"/>
      <c r="PG18" s="2"/>
      <c r="PH18" s="2"/>
      <c r="PI18" s="2"/>
      <c r="PJ18" s="2"/>
      <c r="PK18" s="2"/>
      <c r="PL18" s="2"/>
      <c r="PM18" s="2"/>
      <c r="PN18" s="2"/>
      <c r="PO18" s="2"/>
      <c r="PP18" s="2"/>
      <c r="PQ18" s="2"/>
      <c r="PR18" s="2"/>
      <c r="PS18" s="2"/>
      <c r="PT18" s="2"/>
      <c r="PU18" s="2"/>
      <c r="PV18" s="2"/>
      <c r="PW18" s="2"/>
      <c r="PX18" s="2"/>
      <c r="PY18" s="2"/>
      <c r="PZ18" s="2"/>
      <c r="QA18" s="2"/>
      <c r="QB18" s="2"/>
      <c r="QC18" s="2"/>
      <c r="QD18" s="2"/>
      <c r="QE18" s="2"/>
      <c r="QF18" s="2"/>
      <c r="QG18" s="2"/>
      <c r="QH18" s="2"/>
      <c r="QI18" s="2"/>
      <c r="QJ18" s="2"/>
      <c r="QK18" s="2"/>
      <c r="QL18" s="2"/>
      <c r="QM18" s="2"/>
      <c r="QN18" s="2"/>
      <c r="QO18" s="2"/>
      <c r="QP18" s="2"/>
      <c r="QQ18" s="2"/>
      <c r="QR18" s="2"/>
      <c r="QS18" s="2"/>
      <c r="QT18" s="2"/>
      <c r="QU18" s="2"/>
      <c r="QV18" s="2"/>
      <c r="QW18" s="2"/>
      <c r="QX18" s="2"/>
      <c r="QY18" s="2"/>
      <c r="QZ18" s="2"/>
      <c r="RA18" s="2"/>
      <c r="RB18" s="2"/>
      <c r="RC18" s="2"/>
      <c r="RD18" s="2"/>
      <c r="RE18" s="2"/>
      <c r="RF18" s="2"/>
      <c r="RG18" s="2"/>
      <c r="RH18" s="2"/>
      <c r="RI18" s="2"/>
      <c r="RJ18" s="2"/>
      <c r="RK18" s="2"/>
      <c r="RL18" s="2"/>
      <c r="RM18" s="2"/>
      <c r="RN18" s="2"/>
      <c r="RO18" s="2"/>
      <c r="RP18" s="2"/>
      <c r="RQ18" s="2"/>
      <c r="RR18" s="2"/>
      <c r="RS18" s="2"/>
      <c r="RT18" s="2"/>
      <c r="RU18" s="2"/>
      <c r="RV18" s="2"/>
      <c r="RW18" s="2"/>
      <c r="RX18" s="2"/>
      <c r="RY18" s="2"/>
      <c r="RZ18" s="2"/>
      <c r="SA18" s="2"/>
      <c r="SB18" s="2"/>
      <c r="SC18" s="2"/>
      <c r="SD18" s="2"/>
      <c r="SE18" s="2"/>
      <c r="SF18" s="2"/>
      <c r="SG18" s="2"/>
      <c r="SH18" s="2"/>
      <c r="SI18" s="2"/>
      <c r="SJ18" s="2"/>
      <c r="SK18" s="2"/>
      <c r="SL18" s="2"/>
      <c r="SM18" s="2"/>
      <c r="SN18" s="2"/>
      <c r="SO18" s="2"/>
      <c r="SP18" s="2"/>
      <c r="SQ18" s="2"/>
      <c r="SR18" s="2"/>
      <c r="SS18" s="2"/>
      <c r="ST18" s="2"/>
      <c r="SU18" s="2"/>
      <c r="SV18" s="2"/>
      <c r="SW18" s="2"/>
      <c r="SX18" s="2"/>
      <c r="SY18" s="2"/>
      <c r="SZ18" s="2"/>
      <c r="TA18" s="2"/>
      <c r="TB18" s="2"/>
      <c r="TC18" s="2"/>
      <c r="TD18" s="2"/>
      <c r="TE18" s="2"/>
      <c r="TF18" s="2"/>
      <c r="TG18" s="2"/>
      <c r="TH18" s="2"/>
      <c r="TI18" s="2"/>
      <c r="TJ18" s="2"/>
      <c r="TK18" s="2"/>
      <c r="TL18" s="2"/>
      <c r="TM18" s="2"/>
      <c r="TN18" s="2"/>
      <c r="TO18" s="2"/>
      <c r="TP18" s="2"/>
      <c r="TQ18" s="2"/>
      <c r="TR18" s="2"/>
      <c r="TS18" s="2"/>
      <c r="TT18" s="2"/>
      <c r="TU18" s="2"/>
      <c r="TV18" s="2"/>
      <c r="TW18" s="2"/>
      <c r="TX18" s="2"/>
      <c r="TY18" s="2"/>
      <c r="TZ18" s="2"/>
      <c r="UA18" s="2"/>
      <c r="UB18" s="2"/>
      <c r="UC18" s="2"/>
      <c r="UD18" s="2"/>
      <c r="UE18" s="2"/>
      <c r="UF18" s="2"/>
      <c r="UG18" s="2"/>
      <c r="UH18" s="2"/>
      <c r="UI18" s="2"/>
      <c r="UJ18" s="2"/>
      <c r="UK18" s="2"/>
      <c r="UL18" s="2"/>
      <c r="UM18" s="2"/>
      <c r="UN18" s="2"/>
      <c r="UO18" s="2"/>
      <c r="UP18" s="2"/>
      <c r="UQ18" s="2"/>
      <c r="UR18" s="2"/>
      <c r="US18" s="2"/>
      <c r="UT18" s="2"/>
      <c r="UU18" s="2"/>
      <c r="UV18" s="2"/>
      <c r="UW18" s="2"/>
      <c r="UX18" s="2"/>
      <c r="UY18" s="2"/>
      <c r="UZ18" s="2"/>
      <c r="VA18" s="2"/>
      <c r="VB18" s="2"/>
      <c r="VC18" s="2"/>
      <c r="VD18" s="2"/>
      <c r="VE18" s="2"/>
      <c r="VF18" s="2"/>
      <c r="VG18" s="2"/>
      <c r="VH18" s="2"/>
      <c r="VI18" s="2"/>
      <c r="VJ18" s="2"/>
      <c r="VK18" s="2"/>
      <c r="VL18" s="2"/>
      <c r="VM18" s="2"/>
      <c r="VN18" s="2"/>
      <c r="VO18" s="2"/>
      <c r="VP18" s="2"/>
      <c r="VQ18" s="2"/>
      <c r="VR18" s="2"/>
      <c r="VS18" s="2"/>
      <c r="VT18" s="2"/>
      <c r="VU18" s="2"/>
      <c r="VV18" s="2"/>
      <c r="VW18" s="2"/>
      <c r="VX18" s="2"/>
      <c r="VY18" s="2"/>
      <c r="VZ18" s="2"/>
      <c r="WA18" s="2"/>
      <c r="WB18" s="2"/>
      <c r="WC18" s="2"/>
      <c r="WD18" s="2"/>
      <c r="WE18" s="2"/>
      <c r="WF18" s="2"/>
      <c r="WG18" s="2"/>
      <c r="WH18" s="2"/>
      <c r="WI18" s="2"/>
      <c r="WJ18" s="2"/>
      <c r="WK18" s="2"/>
      <c r="WL18" s="2"/>
      <c r="WM18" s="2"/>
      <c r="WN18" s="2"/>
      <c r="WO18" s="2"/>
      <c r="WP18" s="2"/>
      <c r="WQ18" s="2"/>
      <c r="WR18" s="2"/>
      <c r="WS18" s="2"/>
      <c r="WT18" s="2"/>
      <c r="WU18" s="2"/>
      <c r="WV18" s="2"/>
      <c r="WW18" s="2"/>
      <c r="WX18" s="2"/>
      <c r="WY18" s="2"/>
      <c r="WZ18" s="2"/>
      <c r="XA18" s="2"/>
      <c r="XB18" s="2"/>
      <c r="XC18" s="2"/>
      <c r="XD18" s="2"/>
      <c r="XE18" s="2"/>
      <c r="XF18" s="2"/>
      <c r="XG18" s="2"/>
      <c r="XH18" s="2"/>
      <c r="XI18" s="2"/>
      <c r="XJ18" s="2"/>
      <c r="XK18" s="2"/>
      <c r="XL18" s="2"/>
      <c r="XM18" s="2"/>
      <c r="XN18" s="2"/>
      <c r="XO18" s="2"/>
      <c r="XP18" s="2"/>
      <c r="XQ18" s="2"/>
      <c r="XR18" s="2"/>
      <c r="XS18" s="2"/>
      <c r="XT18" s="2"/>
      <c r="XU18" s="2"/>
      <c r="XV18" s="2"/>
      <c r="XW18" s="2"/>
      <c r="XX18" s="2"/>
      <c r="XY18" s="2"/>
      <c r="XZ18" s="2"/>
      <c r="YA18" s="2"/>
      <c r="YB18" s="2"/>
      <c r="YC18" s="2"/>
      <c r="YD18" s="2"/>
      <c r="YE18" s="2"/>
      <c r="YF18" s="2"/>
      <c r="YG18" s="2"/>
      <c r="YH18" s="2"/>
      <c r="YI18" s="2"/>
      <c r="YJ18" s="2"/>
      <c r="YK18" s="2"/>
      <c r="YL18" s="2"/>
      <c r="YM18" s="2"/>
      <c r="YN18" s="2"/>
      <c r="YO18" s="2"/>
      <c r="YP18" s="2"/>
      <c r="YQ18" s="2"/>
      <c r="YR18" s="2"/>
      <c r="YS18" s="2"/>
      <c r="YT18" s="2"/>
      <c r="YU18" s="2"/>
      <c r="YV18" s="2"/>
      <c r="YW18" s="2"/>
      <c r="YX18" s="2"/>
      <c r="YY18" s="2"/>
      <c r="YZ18" s="2"/>
      <c r="ZA18" s="2"/>
      <c r="ZB18" s="2"/>
      <c r="ZC18" s="2"/>
      <c r="ZD18" s="2"/>
      <c r="ZE18" s="2"/>
      <c r="ZF18" s="2"/>
      <c r="ZG18" s="2"/>
      <c r="ZH18" s="2"/>
      <c r="ZI18" s="2"/>
      <c r="ZJ18" s="2"/>
      <c r="ZK18" s="2"/>
      <c r="ZL18" s="2"/>
      <c r="ZM18" s="2"/>
      <c r="ZN18" s="2"/>
      <c r="ZO18" s="2"/>
      <c r="ZP18" s="2"/>
      <c r="ZQ18" s="2"/>
      <c r="ZR18" s="2"/>
      <c r="ZS18" s="2"/>
      <c r="ZT18" s="2"/>
      <c r="ZU18" s="2"/>
      <c r="ZV18" s="2"/>
      <c r="ZW18" s="2"/>
      <c r="ZX18" s="2"/>
      <c r="ZY18" s="2"/>
      <c r="ZZ18" s="2"/>
      <c r="AAA18" s="2"/>
      <c r="AAB18" s="2"/>
      <c r="AAC18" s="2"/>
      <c r="AAD18" s="2"/>
      <c r="AAE18" s="2"/>
      <c r="AAF18" s="2"/>
      <c r="AAG18" s="2"/>
      <c r="AAH18" s="2"/>
      <c r="AAI18" s="2"/>
      <c r="AAJ18" s="2"/>
      <c r="AAK18" s="2"/>
      <c r="AAL18" s="2"/>
      <c r="AAM18" s="2"/>
      <c r="AAN18" s="2"/>
      <c r="AAO18" s="2"/>
      <c r="AAP18" s="2"/>
      <c r="AAQ18" s="2"/>
      <c r="AAR18" s="2"/>
      <c r="AAS18" s="2"/>
      <c r="AAT18" s="2"/>
      <c r="AAU18" s="2"/>
      <c r="AAV18" s="2"/>
      <c r="AAW18" s="2"/>
      <c r="AAX18" s="2"/>
      <c r="AAY18" s="2"/>
      <c r="AAZ18" s="2"/>
      <c r="ABA18" s="2"/>
      <c r="ABB18" s="2"/>
      <c r="ABC18" s="2"/>
      <c r="ABD18" s="2"/>
      <c r="ABE18" s="2"/>
      <c r="ABF18" s="2"/>
      <c r="ABG18" s="2"/>
      <c r="ABH18" s="2"/>
      <c r="ABI18" s="2"/>
      <c r="ABJ18" s="2"/>
      <c r="ABK18" s="2"/>
      <c r="ABL18" s="2"/>
      <c r="ABM18" s="2"/>
      <c r="ABN18" s="2"/>
      <c r="ABO18" s="2"/>
      <c r="ABP18" s="2"/>
      <c r="ABQ18" s="2"/>
      <c r="ABR18" s="2"/>
      <c r="ABS18" s="2"/>
      <c r="ABT18" s="2"/>
      <c r="ABU18" s="2"/>
      <c r="ABV18" s="2"/>
      <c r="ABW18" s="2"/>
      <c r="ABX18" s="2"/>
      <c r="ABY18" s="2"/>
      <c r="ABZ18" s="2"/>
      <c r="ACA18" s="2"/>
      <c r="ACB18" s="2"/>
      <c r="ACC18" s="2"/>
      <c r="ACD18" s="2"/>
      <c r="ACE18" s="2"/>
      <c r="ACF18" s="2"/>
      <c r="ACG18" s="2"/>
      <c r="ACH18" s="2"/>
      <c r="ACI18" s="2"/>
      <c r="ACJ18" s="2"/>
      <c r="ACK18" s="2"/>
      <c r="ACL18" s="2"/>
      <c r="ACM18" s="2"/>
      <c r="ACN18" s="2"/>
      <c r="ACO18" s="2"/>
      <c r="ACP18" s="2"/>
      <c r="ACQ18" s="2"/>
      <c r="ACR18" s="2"/>
      <c r="ACS18" s="2"/>
      <c r="ACT18" s="2"/>
      <c r="ACU18" s="2"/>
      <c r="ACV18" s="2"/>
      <c r="ACW18" s="2"/>
      <c r="ACX18" s="2"/>
      <c r="ACY18" s="2"/>
      <c r="ACZ18" s="2"/>
      <c r="ADA18" s="2"/>
      <c r="ADB18" s="2"/>
      <c r="ADC18" s="2"/>
      <c r="ADD18" s="2"/>
      <c r="ADE18" s="2"/>
      <c r="ADF18" s="2"/>
      <c r="ADG18" s="2"/>
      <c r="ADH18" s="2"/>
      <c r="ADI18" s="2"/>
      <c r="ADJ18" s="2"/>
      <c r="ADK18" s="2"/>
      <c r="ADL18" s="2"/>
      <c r="ADM18" s="2"/>
      <c r="ADN18" s="2"/>
      <c r="ADO18" s="2"/>
      <c r="ADP18" s="2"/>
      <c r="ADQ18" s="2"/>
      <c r="ADR18" s="2"/>
      <c r="ADS18" s="2"/>
      <c r="ADT18" s="2"/>
      <c r="ADU18" s="2"/>
      <c r="ADV18" s="2"/>
      <c r="ADW18" s="2"/>
      <c r="ADX18" s="2"/>
      <c r="ADY18" s="2"/>
      <c r="ADZ18" s="2"/>
      <c r="AEA18" s="2"/>
      <c r="AEB18" s="2"/>
      <c r="AEC18" s="2"/>
      <c r="AED18" s="2"/>
      <c r="AEE18" s="2"/>
      <c r="AEF18" s="2"/>
      <c r="AEG18" s="2"/>
      <c r="AEH18" s="2"/>
      <c r="AEI18" s="2"/>
      <c r="AEJ18" s="2"/>
      <c r="AEK18" s="2"/>
      <c r="AEL18" s="2"/>
      <c r="AEM18" s="2"/>
      <c r="AEN18" s="2"/>
      <c r="AEO18" s="2"/>
      <c r="AEP18" s="2"/>
      <c r="AEQ18" s="2"/>
      <c r="AER18" s="2"/>
      <c r="AES18" s="2"/>
      <c r="AET18" s="2"/>
      <c r="AEU18" s="2"/>
      <c r="AEV18" s="2"/>
      <c r="AEW18" s="2"/>
      <c r="AEX18" s="2"/>
      <c r="AEY18" s="2"/>
      <c r="AEZ18" s="2"/>
      <c r="AFA18" s="2"/>
      <c r="AFB18" s="2"/>
      <c r="AFC18" s="2"/>
      <c r="AFD18" s="2"/>
      <c r="AFE18" s="2"/>
      <c r="AFF18" s="2"/>
      <c r="AFG18" s="2"/>
      <c r="AFH18" s="2"/>
      <c r="AFI18" s="2"/>
      <c r="AFJ18" s="2"/>
      <c r="AFK18" s="2"/>
      <c r="AFL18" s="2"/>
      <c r="AFM18" s="2"/>
      <c r="AFN18" s="2"/>
      <c r="AFO18" s="2"/>
      <c r="AFP18" s="2"/>
      <c r="AFQ18" s="2"/>
      <c r="AFR18" s="2"/>
      <c r="AFS18" s="2"/>
      <c r="AFT18" s="2"/>
      <c r="AFU18" s="2"/>
      <c r="AFV18" s="2"/>
      <c r="AFW18" s="2"/>
      <c r="AFX18" s="2"/>
      <c r="AFY18" s="2"/>
      <c r="AFZ18" s="2"/>
      <c r="AGA18" s="2"/>
      <c r="AGB18" s="2"/>
      <c r="AGC18" s="2"/>
      <c r="AGD18" s="2"/>
      <c r="AGE18" s="2"/>
      <c r="AGF18" s="2"/>
      <c r="AGG18" s="2"/>
      <c r="AGH18" s="2"/>
      <c r="AGI18" s="2"/>
      <c r="AGJ18" s="2"/>
      <c r="AGK18" s="2"/>
      <c r="AGL18" s="2"/>
      <c r="AGM18" s="2"/>
      <c r="AGN18" s="2"/>
      <c r="AGO18" s="2"/>
      <c r="AGP18" s="2"/>
      <c r="AGQ18" s="2"/>
      <c r="AGR18" s="2"/>
      <c r="AGS18" s="2"/>
      <c r="AGT18" s="2"/>
      <c r="AGU18" s="2"/>
      <c r="AGV18" s="2"/>
      <c r="AGW18" s="2"/>
      <c r="AGX18" s="2"/>
      <c r="AGY18" s="2"/>
      <c r="AGZ18" s="2"/>
      <c r="AHA18" s="2"/>
      <c r="AHB18" s="2"/>
      <c r="AHC18" s="2"/>
      <c r="AHD18" s="2"/>
      <c r="AHE18" s="2"/>
      <c r="AHF18" s="2"/>
      <c r="AHG18" s="2"/>
      <c r="AHH18" s="2"/>
      <c r="AHI18" s="2"/>
      <c r="AHJ18" s="2"/>
      <c r="AHK18" s="2"/>
      <c r="AHL18" s="2"/>
      <c r="AHM18" s="2"/>
      <c r="AHN18" s="2"/>
      <c r="AHO18" s="2"/>
      <c r="AHP18" s="2"/>
      <c r="AHQ18" s="2"/>
      <c r="AHR18" s="2"/>
      <c r="AHS18" s="2"/>
      <c r="AHT18" s="2"/>
      <c r="AHU18" s="2"/>
      <c r="AHV18" s="2"/>
      <c r="AHW18" s="2"/>
      <c r="AHX18" s="2"/>
      <c r="AHY18" s="2"/>
      <c r="AHZ18" s="2"/>
      <c r="AIA18" s="2"/>
      <c r="AIB18" s="2"/>
      <c r="AIC18" s="2"/>
      <c r="AID18" s="2"/>
      <c r="AIE18" s="2"/>
      <c r="AIF18" s="2"/>
      <c r="AIG18" s="2"/>
      <c r="AIH18" s="2"/>
      <c r="AII18" s="2"/>
      <c r="AIJ18" s="2"/>
      <c r="AIK18" s="2"/>
      <c r="AIL18" s="2"/>
      <c r="AIM18" s="2"/>
      <c r="AIN18" s="2"/>
      <c r="AIO18" s="2"/>
      <c r="AIP18" s="2"/>
      <c r="AIQ18" s="2"/>
      <c r="AIR18" s="2"/>
      <c r="AIS18" s="2"/>
      <c r="AIT18" s="2"/>
      <c r="AIU18" s="2"/>
      <c r="AIV18" s="2"/>
      <c r="AIW18" s="2"/>
      <c r="AIX18" s="2"/>
      <c r="AIY18" s="2"/>
      <c r="AIZ18" s="2"/>
      <c r="AJA18" s="2"/>
      <c r="AJB18" s="2"/>
      <c r="AJC18" s="2"/>
      <c r="AJD18" s="2"/>
      <c r="AJE18" s="2"/>
      <c r="AJF18" s="2"/>
      <c r="AJG18" s="2"/>
      <c r="AJH18" s="2"/>
      <c r="AJI18" s="2"/>
      <c r="AJJ18" s="2"/>
      <c r="AJK18" s="2"/>
      <c r="AJL18" s="2"/>
      <c r="AJM18" s="2"/>
      <c r="AJN18" s="2"/>
      <c r="AJO18" s="2"/>
      <c r="AJP18" s="2"/>
      <c r="AJQ18" s="2"/>
      <c r="AJR18" s="2"/>
      <c r="AJS18" s="2"/>
      <c r="AJT18" s="2"/>
      <c r="AJU18" s="2"/>
      <c r="AJV18" s="2"/>
      <c r="AJW18" s="2"/>
      <c r="AJX18" s="2"/>
      <c r="AJY18" s="2"/>
      <c r="AJZ18" s="2"/>
      <c r="AKA18" s="2"/>
    </row>
    <row r="19" spans="1:963">
      <c r="A19" s="7">
        <v>18</v>
      </c>
      <c r="B19" s="2">
        <v>3</v>
      </c>
      <c r="C19" s="7">
        <v>4.1500000000000004</v>
      </c>
      <c r="D19" s="7">
        <v>2.79</v>
      </c>
      <c r="E19" s="7">
        <v>1.08</v>
      </c>
      <c r="F19" s="7">
        <v>0.15</v>
      </c>
      <c r="G19" s="7">
        <v>274</v>
      </c>
      <c r="H19" s="9">
        <f t="shared" si="3"/>
        <v>2.583333333333333</v>
      </c>
      <c r="I19" s="9">
        <f t="shared" si="0"/>
        <v>0.13888888888888887</v>
      </c>
      <c r="J19" s="9">
        <f t="shared" si="1"/>
        <v>253.7037037037037</v>
      </c>
      <c r="K19" s="9">
        <f t="shared" si="2"/>
        <v>707.83333333333337</v>
      </c>
      <c r="L19" s="7">
        <v>14</v>
      </c>
      <c r="M19" s="7" t="s">
        <v>28</v>
      </c>
      <c r="N19" s="7">
        <v>6.6</v>
      </c>
      <c r="O19" s="9">
        <v>4.1500000000000004</v>
      </c>
      <c r="P19" s="9">
        <v>2.79</v>
      </c>
      <c r="Q19" s="9">
        <v>1.08</v>
      </c>
      <c r="R19" s="9">
        <v>0.15</v>
      </c>
      <c r="S19" s="9">
        <v>0.12</v>
      </c>
      <c r="T19" s="9">
        <v>0</v>
      </c>
      <c r="U19" s="9">
        <v>0</v>
      </c>
      <c r="V19" s="9">
        <v>8.06</v>
      </c>
      <c r="W19" s="9">
        <v>128</v>
      </c>
      <c r="X19" s="9">
        <v>0.41</v>
      </c>
      <c r="Y19" s="9">
        <v>274</v>
      </c>
      <c r="Z19" s="9">
        <v>0.1</v>
      </c>
      <c r="AA19" s="9">
        <v>7.0000000000000001E-3</v>
      </c>
      <c r="AB19" s="9">
        <v>155.5</v>
      </c>
      <c r="AC19" s="9">
        <v>4.0199999999999996</v>
      </c>
      <c r="AD19" s="9">
        <v>122.7</v>
      </c>
      <c r="AE19" s="9">
        <v>2.4700000000000002</v>
      </c>
      <c r="AF19" s="9">
        <v>1.75</v>
      </c>
      <c r="AG19" s="9">
        <v>22.12</v>
      </c>
      <c r="AH19" s="9">
        <v>338.7</v>
      </c>
      <c r="AI19" s="9">
        <v>26.4</v>
      </c>
      <c r="AJ19" s="9">
        <v>37.5</v>
      </c>
      <c r="AK19" s="9">
        <v>70.8</v>
      </c>
      <c r="AL19" s="9">
        <v>36.4</v>
      </c>
      <c r="AM19" s="24">
        <v>1.016</v>
      </c>
      <c r="AN19" s="24">
        <v>0.14269999999999999</v>
      </c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  <c r="JC19" s="2"/>
      <c r="JD19" s="2"/>
      <c r="JE19" s="2"/>
      <c r="JF19" s="2"/>
      <c r="JG19" s="2"/>
      <c r="JH19" s="2"/>
      <c r="JI19" s="2"/>
      <c r="JJ19" s="2"/>
      <c r="JK19" s="2"/>
      <c r="JL19" s="2"/>
      <c r="JM19" s="2"/>
      <c r="JN19" s="2"/>
      <c r="JO19" s="2"/>
      <c r="JP19" s="2"/>
      <c r="JQ19" s="2"/>
      <c r="JR19" s="2"/>
      <c r="JS19" s="2"/>
      <c r="JT19" s="2"/>
      <c r="JU19" s="2"/>
      <c r="JV19" s="2"/>
      <c r="JW19" s="2"/>
      <c r="JX19" s="2"/>
      <c r="JY19" s="2"/>
      <c r="JZ19" s="2"/>
      <c r="KA19" s="2"/>
      <c r="KB19" s="2"/>
      <c r="KC19" s="2"/>
      <c r="KD19" s="2"/>
      <c r="KE19" s="2"/>
      <c r="KF19" s="2"/>
      <c r="KG19" s="2"/>
      <c r="KH19" s="2"/>
      <c r="KI19" s="2"/>
      <c r="KJ19" s="2"/>
      <c r="KK19" s="2"/>
      <c r="KL19" s="2"/>
      <c r="KM19" s="2"/>
      <c r="KN19" s="2"/>
      <c r="KO19" s="2"/>
      <c r="KP19" s="2"/>
      <c r="KQ19" s="2"/>
      <c r="KR19" s="2"/>
      <c r="KS19" s="2"/>
      <c r="KT19" s="2"/>
      <c r="KU19" s="2"/>
      <c r="KV19" s="2"/>
      <c r="KW19" s="2"/>
      <c r="KX19" s="2"/>
      <c r="KY19" s="2"/>
      <c r="KZ19" s="2"/>
      <c r="LA19" s="2"/>
      <c r="LB19" s="2"/>
      <c r="LC19" s="2"/>
      <c r="LD19" s="2"/>
      <c r="LE19" s="2"/>
      <c r="LF19" s="2"/>
      <c r="LG19" s="2"/>
      <c r="LH19" s="2"/>
      <c r="LI19" s="2"/>
      <c r="LJ19" s="2"/>
      <c r="LK19" s="2"/>
      <c r="LL19" s="2"/>
      <c r="LM19" s="2"/>
      <c r="LN19" s="2"/>
      <c r="LO19" s="2"/>
      <c r="LP19" s="2"/>
      <c r="LQ19" s="2"/>
      <c r="LR19" s="2"/>
      <c r="LS19" s="2"/>
      <c r="LT19" s="2"/>
      <c r="LU19" s="2"/>
      <c r="LV19" s="2"/>
      <c r="LW19" s="2"/>
      <c r="LX19" s="2"/>
      <c r="LY19" s="2"/>
      <c r="LZ19" s="2"/>
      <c r="MA19" s="2"/>
      <c r="MB19" s="2"/>
      <c r="MC19" s="2"/>
      <c r="MD19" s="2"/>
      <c r="ME19" s="2"/>
      <c r="MF19" s="2"/>
      <c r="MG19" s="2"/>
      <c r="MH19" s="2"/>
      <c r="MI19" s="2"/>
      <c r="MJ19" s="2"/>
      <c r="MK19" s="2"/>
      <c r="ML19" s="2"/>
      <c r="MM19" s="2"/>
      <c r="MN19" s="2"/>
      <c r="MO19" s="2"/>
      <c r="MP19" s="2"/>
      <c r="MQ19" s="2"/>
      <c r="MR19" s="2"/>
      <c r="MS19" s="2"/>
      <c r="MT19" s="2"/>
      <c r="MU19" s="2"/>
      <c r="MV19" s="2"/>
      <c r="MW19" s="2"/>
      <c r="MX19" s="2"/>
      <c r="MY19" s="2"/>
      <c r="MZ19" s="2"/>
      <c r="NA19" s="2"/>
      <c r="NB19" s="2"/>
      <c r="NC19" s="2"/>
      <c r="ND19" s="2"/>
      <c r="NE19" s="2"/>
      <c r="NF19" s="2"/>
      <c r="NG19" s="2"/>
      <c r="NH19" s="2"/>
      <c r="NI19" s="2"/>
      <c r="NJ19" s="2"/>
      <c r="NK19" s="2"/>
      <c r="NL19" s="2"/>
      <c r="NM19" s="2"/>
      <c r="NN19" s="2"/>
      <c r="NO19" s="2"/>
      <c r="NP19" s="2"/>
      <c r="NQ19" s="2"/>
      <c r="NR19" s="2"/>
      <c r="NS19" s="2"/>
      <c r="NT19" s="2"/>
      <c r="NU19" s="2"/>
      <c r="NV19" s="2"/>
      <c r="NW19" s="2"/>
      <c r="NX19" s="2"/>
      <c r="NY19" s="2"/>
      <c r="NZ19" s="2"/>
      <c r="OA19" s="2"/>
      <c r="OB19" s="2"/>
      <c r="OC19" s="2"/>
      <c r="OD19" s="2"/>
      <c r="OE19" s="2"/>
      <c r="OF19" s="2"/>
      <c r="OG19" s="2"/>
      <c r="OH19" s="2"/>
      <c r="OI19" s="2"/>
      <c r="OJ19" s="2"/>
      <c r="OK19" s="2"/>
      <c r="OL19" s="2"/>
      <c r="OM19" s="2"/>
      <c r="ON19" s="2"/>
      <c r="OO19" s="2"/>
      <c r="OP19" s="2"/>
      <c r="OQ19" s="2"/>
      <c r="OR19" s="2"/>
      <c r="OS19" s="2"/>
      <c r="OT19" s="2"/>
      <c r="OU19" s="2"/>
      <c r="OV19" s="2"/>
      <c r="OW19" s="2"/>
      <c r="OX19" s="2"/>
      <c r="OY19" s="2"/>
      <c r="OZ19" s="2"/>
      <c r="PA19" s="2"/>
      <c r="PB19" s="2"/>
      <c r="PC19" s="2"/>
      <c r="PD19" s="2"/>
      <c r="PE19" s="2"/>
      <c r="PF19" s="2"/>
      <c r="PG19" s="2"/>
      <c r="PH19" s="2"/>
      <c r="PI19" s="2"/>
      <c r="PJ19" s="2"/>
      <c r="PK19" s="2"/>
      <c r="PL19" s="2"/>
      <c r="PM19" s="2"/>
      <c r="PN19" s="2"/>
      <c r="PO19" s="2"/>
      <c r="PP19" s="2"/>
      <c r="PQ19" s="2"/>
      <c r="PR19" s="2"/>
      <c r="PS19" s="2"/>
      <c r="PT19" s="2"/>
      <c r="PU19" s="2"/>
      <c r="PV19" s="2"/>
      <c r="PW19" s="2"/>
      <c r="PX19" s="2"/>
      <c r="PY19" s="2"/>
      <c r="PZ19" s="2"/>
      <c r="QA19" s="2"/>
      <c r="QB19" s="2"/>
      <c r="QC19" s="2"/>
      <c r="QD19" s="2"/>
      <c r="QE19" s="2"/>
      <c r="QF19" s="2"/>
      <c r="QG19" s="2"/>
      <c r="QH19" s="2"/>
      <c r="QI19" s="2"/>
      <c r="QJ19" s="2"/>
      <c r="QK19" s="2"/>
      <c r="QL19" s="2"/>
      <c r="QM19" s="2"/>
      <c r="QN19" s="2"/>
      <c r="QO19" s="2"/>
      <c r="QP19" s="2"/>
      <c r="QQ19" s="2"/>
      <c r="QR19" s="2"/>
      <c r="QS19" s="2"/>
      <c r="QT19" s="2"/>
      <c r="QU19" s="2"/>
      <c r="QV19" s="2"/>
      <c r="QW19" s="2"/>
      <c r="QX19" s="2"/>
      <c r="QY19" s="2"/>
      <c r="QZ19" s="2"/>
      <c r="RA19" s="2"/>
      <c r="RB19" s="2"/>
      <c r="RC19" s="2"/>
      <c r="RD19" s="2"/>
      <c r="RE19" s="2"/>
      <c r="RF19" s="2"/>
      <c r="RG19" s="2"/>
      <c r="RH19" s="2"/>
      <c r="RI19" s="2"/>
      <c r="RJ19" s="2"/>
      <c r="RK19" s="2"/>
      <c r="RL19" s="2"/>
      <c r="RM19" s="2"/>
      <c r="RN19" s="2"/>
      <c r="RO19" s="2"/>
      <c r="RP19" s="2"/>
      <c r="RQ19" s="2"/>
      <c r="RR19" s="2"/>
      <c r="RS19" s="2"/>
      <c r="RT19" s="2"/>
      <c r="RU19" s="2"/>
      <c r="RV19" s="2"/>
      <c r="RW19" s="2"/>
      <c r="RX19" s="2"/>
      <c r="RY19" s="2"/>
      <c r="RZ19" s="2"/>
      <c r="SA19" s="2"/>
      <c r="SB19" s="2"/>
      <c r="SC19" s="2"/>
      <c r="SD19" s="2"/>
      <c r="SE19" s="2"/>
      <c r="SF19" s="2"/>
      <c r="SG19" s="2"/>
      <c r="SH19" s="2"/>
      <c r="SI19" s="2"/>
      <c r="SJ19" s="2"/>
      <c r="SK19" s="2"/>
      <c r="SL19" s="2"/>
      <c r="SM19" s="2"/>
      <c r="SN19" s="2"/>
      <c r="SO19" s="2"/>
      <c r="SP19" s="2"/>
      <c r="SQ19" s="2"/>
      <c r="SR19" s="2"/>
      <c r="SS19" s="2"/>
      <c r="ST19" s="2"/>
      <c r="SU19" s="2"/>
      <c r="SV19" s="2"/>
      <c r="SW19" s="2"/>
      <c r="SX19" s="2"/>
      <c r="SY19" s="2"/>
      <c r="SZ19" s="2"/>
      <c r="TA19" s="2"/>
      <c r="TB19" s="2"/>
      <c r="TC19" s="2"/>
      <c r="TD19" s="2"/>
      <c r="TE19" s="2"/>
      <c r="TF19" s="2"/>
      <c r="TG19" s="2"/>
      <c r="TH19" s="2"/>
      <c r="TI19" s="2"/>
      <c r="TJ19" s="2"/>
      <c r="TK19" s="2"/>
      <c r="TL19" s="2"/>
      <c r="TM19" s="2"/>
      <c r="TN19" s="2"/>
      <c r="TO19" s="2"/>
      <c r="TP19" s="2"/>
      <c r="TQ19" s="2"/>
      <c r="TR19" s="2"/>
      <c r="TS19" s="2"/>
      <c r="TT19" s="2"/>
      <c r="TU19" s="2"/>
      <c r="TV19" s="2"/>
      <c r="TW19" s="2"/>
      <c r="TX19" s="2"/>
      <c r="TY19" s="2"/>
      <c r="TZ19" s="2"/>
      <c r="UA19" s="2"/>
      <c r="UB19" s="2"/>
      <c r="UC19" s="2"/>
      <c r="UD19" s="2"/>
      <c r="UE19" s="2"/>
      <c r="UF19" s="2"/>
      <c r="UG19" s="2"/>
      <c r="UH19" s="2"/>
      <c r="UI19" s="2"/>
      <c r="UJ19" s="2"/>
      <c r="UK19" s="2"/>
      <c r="UL19" s="2"/>
      <c r="UM19" s="2"/>
      <c r="UN19" s="2"/>
      <c r="UO19" s="2"/>
      <c r="UP19" s="2"/>
      <c r="UQ19" s="2"/>
      <c r="UR19" s="2"/>
      <c r="US19" s="2"/>
      <c r="UT19" s="2"/>
      <c r="UU19" s="2"/>
      <c r="UV19" s="2"/>
      <c r="UW19" s="2"/>
      <c r="UX19" s="2"/>
      <c r="UY19" s="2"/>
      <c r="UZ19" s="2"/>
      <c r="VA19" s="2"/>
      <c r="VB19" s="2"/>
      <c r="VC19" s="2"/>
      <c r="VD19" s="2"/>
      <c r="VE19" s="2"/>
      <c r="VF19" s="2"/>
      <c r="VG19" s="2"/>
      <c r="VH19" s="2"/>
      <c r="VI19" s="2"/>
      <c r="VJ19" s="2"/>
      <c r="VK19" s="2"/>
      <c r="VL19" s="2"/>
      <c r="VM19" s="2"/>
      <c r="VN19" s="2"/>
      <c r="VO19" s="2"/>
      <c r="VP19" s="2"/>
      <c r="VQ19" s="2"/>
      <c r="VR19" s="2"/>
      <c r="VS19" s="2"/>
      <c r="VT19" s="2"/>
      <c r="VU19" s="2"/>
      <c r="VV19" s="2"/>
      <c r="VW19" s="2"/>
      <c r="VX19" s="2"/>
      <c r="VY19" s="2"/>
      <c r="VZ19" s="2"/>
      <c r="WA19" s="2"/>
      <c r="WB19" s="2"/>
      <c r="WC19" s="2"/>
      <c r="WD19" s="2"/>
      <c r="WE19" s="2"/>
      <c r="WF19" s="2"/>
      <c r="WG19" s="2"/>
      <c r="WH19" s="2"/>
      <c r="WI19" s="2"/>
      <c r="WJ19" s="2"/>
      <c r="WK19" s="2"/>
      <c r="WL19" s="2"/>
      <c r="WM19" s="2"/>
      <c r="WN19" s="2"/>
      <c r="WO19" s="2"/>
      <c r="WP19" s="2"/>
      <c r="WQ19" s="2"/>
      <c r="WR19" s="2"/>
      <c r="WS19" s="2"/>
      <c r="WT19" s="2"/>
      <c r="WU19" s="2"/>
      <c r="WV19" s="2"/>
      <c r="WW19" s="2"/>
      <c r="WX19" s="2"/>
      <c r="WY19" s="2"/>
      <c r="WZ19" s="2"/>
      <c r="XA19" s="2"/>
      <c r="XB19" s="2"/>
      <c r="XC19" s="2"/>
      <c r="XD19" s="2"/>
      <c r="XE19" s="2"/>
      <c r="XF19" s="2"/>
      <c r="XG19" s="2"/>
      <c r="XH19" s="2"/>
      <c r="XI19" s="2"/>
      <c r="XJ19" s="2"/>
      <c r="XK19" s="2"/>
      <c r="XL19" s="2"/>
      <c r="XM19" s="2"/>
      <c r="XN19" s="2"/>
      <c r="XO19" s="2"/>
      <c r="XP19" s="2"/>
      <c r="XQ19" s="2"/>
      <c r="XR19" s="2"/>
      <c r="XS19" s="2"/>
      <c r="XT19" s="2"/>
      <c r="XU19" s="2"/>
      <c r="XV19" s="2"/>
      <c r="XW19" s="2"/>
      <c r="XX19" s="2"/>
      <c r="XY19" s="2"/>
      <c r="XZ19" s="2"/>
      <c r="YA19" s="2"/>
      <c r="YB19" s="2"/>
      <c r="YC19" s="2"/>
      <c r="YD19" s="2"/>
      <c r="YE19" s="2"/>
      <c r="YF19" s="2"/>
      <c r="YG19" s="2"/>
      <c r="YH19" s="2"/>
      <c r="YI19" s="2"/>
      <c r="YJ19" s="2"/>
      <c r="YK19" s="2"/>
      <c r="YL19" s="2"/>
      <c r="YM19" s="2"/>
      <c r="YN19" s="2"/>
      <c r="YO19" s="2"/>
      <c r="YP19" s="2"/>
      <c r="YQ19" s="2"/>
      <c r="YR19" s="2"/>
      <c r="YS19" s="2"/>
      <c r="YT19" s="2"/>
      <c r="YU19" s="2"/>
      <c r="YV19" s="2"/>
      <c r="YW19" s="2"/>
      <c r="YX19" s="2"/>
      <c r="YY19" s="2"/>
      <c r="YZ19" s="2"/>
      <c r="ZA19" s="2"/>
      <c r="ZB19" s="2"/>
      <c r="ZC19" s="2"/>
      <c r="ZD19" s="2"/>
      <c r="ZE19" s="2"/>
      <c r="ZF19" s="2"/>
      <c r="ZG19" s="2"/>
      <c r="ZH19" s="2"/>
      <c r="ZI19" s="2"/>
      <c r="ZJ19" s="2"/>
      <c r="ZK19" s="2"/>
      <c r="ZL19" s="2"/>
      <c r="ZM19" s="2"/>
      <c r="ZN19" s="2"/>
      <c r="ZO19" s="2"/>
      <c r="ZP19" s="2"/>
      <c r="ZQ19" s="2"/>
      <c r="ZR19" s="2"/>
      <c r="ZS19" s="2"/>
      <c r="ZT19" s="2"/>
      <c r="ZU19" s="2"/>
      <c r="ZV19" s="2"/>
      <c r="ZW19" s="2"/>
      <c r="ZX19" s="2"/>
      <c r="ZY19" s="2"/>
      <c r="ZZ19" s="2"/>
      <c r="AAA19" s="2"/>
      <c r="AAB19" s="2"/>
      <c r="AAC19" s="2"/>
      <c r="AAD19" s="2"/>
      <c r="AAE19" s="2"/>
      <c r="AAF19" s="2"/>
      <c r="AAG19" s="2"/>
      <c r="AAH19" s="2"/>
      <c r="AAI19" s="2"/>
      <c r="AAJ19" s="2"/>
      <c r="AAK19" s="2"/>
      <c r="AAL19" s="2"/>
      <c r="AAM19" s="2"/>
      <c r="AAN19" s="2"/>
      <c r="AAO19" s="2"/>
      <c r="AAP19" s="2"/>
      <c r="AAQ19" s="2"/>
      <c r="AAR19" s="2"/>
      <c r="AAS19" s="2"/>
      <c r="AAT19" s="2"/>
      <c r="AAU19" s="2"/>
      <c r="AAV19" s="2"/>
      <c r="AAW19" s="2"/>
      <c r="AAX19" s="2"/>
      <c r="AAY19" s="2"/>
      <c r="AAZ19" s="2"/>
      <c r="ABA19" s="2"/>
      <c r="ABB19" s="2"/>
      <c r="ABC19" s="2"/>
      <c r="ABD19" s="2"/>
      <c r="ABE19" s="2"/>
      <c r="ABF19" s="2"/>
      <c r="ABG19" s="2"/>
      <c r="ABH19" s="2"/>
      <c r="ABI19" s="2"/>
      <c r="ABJ19" s="2"/>
      <c r="ABK19" s="2"/>
      <c r="ABL19" s="2"/>
      <c r="ABM19" s="2"/>
      <c r="ABN19" s="2"/>
      <c r="ABO19" s="2"/>
      <c r="ABP19" s="2"/>
      <c r="ABQ19" s="2"/>
      <c r="ABR19" s="2"/>
      <c r="ABS19" s="2"/>
      <c r="ABT19" s="2"/>
      <c r="ABU19" s="2"/>
      <c r="ABV19" s="2"/>
      <c r="ABW19" s="2"/>
      <c r="ABX19" s="2"/>
      <c r="ABY19" s="2"/>
      <c r="ABZ19" s="2"/>
      <c r="ACA19" s="2"/>
      <c r="ACB19" s="2"/>
      <c r="ACC19" s="2"/>
      <c r="ACD19" s="2"/>
      <c r="ACE19" s="2"/>
      <c r="ACF19" s="2"/>
      <c r="ACG19" s="2"/>
      <c r="ACH19" s="2"/>
      <c r="ACI19" s="2"/>
      <c r="ACJ19" s="2"/>
      <c r="ACK19" s="2"/>
      <c r="ACL19" s="2"/>
      <c r="ACM19" s="2"/>
      <c r="ACN19" s="2"/>
      <c r="ACO19" s="2"/>
      <c r="ACP19" s="2"/>
      <c r="ACQ19" s="2"/>
      <c r="ACR19" s="2"/>
      <c r="ACS19" s="2"/>
      <c r="ACT19" s="2"/>
      <c r="ACU19" s="2"/>
      <c r="ACV19" s="2"/>
      <c r="ACW19" s="2"/>
      <c r="ACX19" s="2"/>
      <c r="ACY19" s="2"/>
      <c r="ACZ19" s="2"/>
      <c r="ADA19" s="2"/>
      <c r="ADB19" s="2"/>
      <c r="ADC19" s="2"/>
      <c r="ADD19" s="2"/>
      <c r="ADE19" s="2"/>
      <c r="ADF19" s="2"/>
      <c r="ADG19" s="2"/>
      <c r="ADH19" s="2"/>
      <c r="ADI19" s="2"/>
      <c r="ADJ19" s="2"/>
      <c r="ADK19" s="2"/>
      <c r="ADL19" s="2"/>
      <c r="ADM19" s="2"/>
      <c r="ADN19" s="2"/>
      <c r="ADO19" s="2"/>
      <c r="ADP19" s="2"/>
      <c r="ADQ19" s="2"/>
      <c r="ADR19" s="2"/>
      <c r="ADS19" s="2"/>
      <c r="ADT19" s="2"/>
      <c r="ADU19" s="2"/>
      <c r="ADV19" s="2"/>
      <c r="ADW19" s="2"/>
      <c r="ADX19" s="2"/>
      <c r="ADY19" s="2"/>
      <c r="ADZ19" s="2"/>
      <c r="AEA19" s="2"/>
      <c r="AEB19" s="2"/>
      <c r="AEC19" s="2"/>
      <c r="AED19" s="2"/>
      <c r="AEE19" s="2"/>
      <c r="AEF19" s="2"/>
      <c r="AEG19" s="2"/>
      <c r="AEH19" s="2"/>
      <c r="AEI19" s="2"/>
      <c r="AEJ19" s="2"/>
      <c r="AEK19" s="2"/>
      <c r="AEL19" s="2"/>
      <c r="AEM19" s="2"/>
      <c r="AEN19" s="2"/>
      <c r="AEO19" s="2"/>
      <c r="AEP19" s="2"/>
      <c r="AEQ19" s="2"/>
      <c r="AER19" s="2"/>
      <c r="AES19" s="2"/>
      <c r="AET19" s="2"/>
      <c r="AEU19" s="2"/>
      <c r="AEV19" s="2"/>
      <c r="AEW19" s="2"/>
      <c r="AEX19" s="2"/>
      <c r="AEY19" s="2"/>
      <c r="AEZ19" s="2"/>
      <c r="AFA19" s="2"/>
      <c r="AFB19" s="2"/>
      <c r="AFC19" s="2"/>
      <c r="AFD19" s="2"/>
      <c r="AFE19" s="2"/>
      <c r="AFF19" s="2"/>
      <c r="AFG19" s="2"/>
      <c r="AFH19" s="2"/>
      <c r="AFI19" s="2"/>
      <c r="AFJ19" s="2"/>
      <c r="AFK19" s="2"/>
      <c r="AFL19" s="2"/>
      <c r="AFM19" s="2"/>
      <c r="AFN19" s="2"/>
      <c r="AFO19" s="2"/>
      <c r="AFP19" s="2"/>
      <c r="AFQ19" s="2"/>
      <c r="AFR19" s="2"/>
      <c r="AFS19" s="2"/>
      <c r="AFT19" s="2"/>
      <c r="AFU19" s="2"/>
      <c r="AFV19" s="2"/>
      <c r="AFW19" s="2"/>
      <c r="AFX19" s="2"/>
      <c r="AFY19" s="2"/>
      <c r="AFZ19" s="2"/>
      <c r="AGA19" s="2"/>
      <c r="AGB19" s="2"/>
      <c r="AGC19" s="2"/>
      <c r="AGD19" s="2"/>
      <c r="AGE19" s="2"/>
      <c r="AGF19" s="2"/>
      <c r="AGG19" s="2"/>
      <c r="AGH19" s="2"/>
      <c r="AGI19" s="2"/>
      <c r="AGJ19" s="2"/>
      <c r="AGK19" s="2"/>
      <c r="AGL19" s="2"/>
      <c r="AGM19" s="2"/>
      <c r="AGN19" s="2"/>
      <c r="AGO19" s="2"/>
      <c r="AGP19" s="2"/>
      <c r="AGQ19" s="2"/>
      <c r="AGR19" s="2"/>
      <c r="AGS19" s="2"/>
      <c r="AGT19" s="2"/>
      <c r="AGU19" s="2"/>
      <c r="AGV19" s="2"/>
      <c r="AGW19" s="2"/>
      <c r="AGX19" s="2"/>
      <c r="AGY19" s="2"/>
      <c r="AGZ19" s="2"/>
      <c r="AHA19" s="2"/>
      <c r="AHB19" s="2"/>
      <c r="AHC19" s="2"/>
      <c r="AHD19" s="2"/>
      <c r="AHE19" s="2"/>
      <c r="AHF19" s="2"/>
      <c r="AHG19" s="2"/>
      <c r="AHH19" s="2"/>
      <c r="AHI19" s="2"/>
      <c r="AHJ19" s="2"/>
      <c r="AHK19" s="2"/>
      <c r="AHL19" s="2"/>
      <c r="AHM19" s="2"/>
      <c r="AHN19" s="2"/>
      <c r="AHO19" s="2"/>
      <c r="AHP19" s="2"/>
      <c r="AHQ19" s="2"/>
      <c r="AHR19" s="2"/>
      <c r="AHS19" s="2"/>
      <c r="AHT19" s="2"/>
      <c r="AHU19" s="2"/>
      <c r="AHV19" s="2"/>
      <c r="AHW19" s="2"/>
      <c r="AHX19" s="2"/>
      <c r="AHY19" s="2"/>
      <c r="AHZ19" s="2"/>
      <c r="AIA19" s="2"/>
      <c r="AIB19" s="2"/>
      <c r="AIC19" s="2"/>
      <c r="AID19" s="2"/>
      <c r="AIE19" s="2"/>
      <c r="AIF19" s="2"/>
      <c r="AIG19" s="2"/>
      <c r="AIH19" s="2"/>
      <c r="AII19" s="2"/>
      <c r="AIJ19" s="2"/>
      <c r="AIK19" s="2"/>
      <c r="AIL19" s="2"/>
      <c r="AIM19" s="2"/>
      <c r="AIN19" s="2"/>
      <c r="AIO19" s="2"/>
      <c r="AIP19" s="2"/>
      <c r="AIQ19" s="2"/>
      <c r="AIR19" s="2"/>
      <c r="AIS19" s="2"/>
      <c r="AIT19" s="2"/>
      <c r="AIU19" s="2"/>
      <c r="AIV19" s="2"/>
      <c r="AIW19" s="2"/>
      <c r="AIX19" s="2"/>
      <c r="AIY19" s="2"/>
      <c r="AIZ19" s="2"/>
      <c r="AJA19" s="2"/>
      <c r="AJB19" s="2"/>
      <c r="AJC19" s="2"/>
      <c r="AJD19" s="2"/>
      <c r="AJE19" s="2"/>
      <c r="AJF19" s="2"/>
      <c r="AJG19" s="2"/>
      <c r="AJH19" s="2"/>
      <c r="AJI19" s="2"/>
      <c r="AJJ19" s="2"/>
      <c r="AJK19" s="2"/>
      <c r="AJL19" s="2"/>
      <c r="AJM19" s="2"/>
      <c r="AJN19" s="2"/>
      <c r="AJO19" s="2"/>
      <c r="AJP19" s="2"/>
      <c r="AJQ19" s="2"/>
      <c r="AJR19" s="2"/>
      <c r="AJS19" s="2"/>
      <c r="AJT19" s="2"/>
      <c r="AJU19" s="2"/>
      <c r="AJV19" s="2"/>
      <c r="AJW19" s="2"/>
      <c r="AJX19" s="2"/>
      <c r="AJY19" s="2"/>
      <c r="AJZ19" s="2"/>
      <c r="AKA19" s="2"/>
    </row>
    <row r="20" spans="1:963">
      <c r="A20" s="16">
        <v>19</v>
      </c>
      <c r="B20" s="2">
        <v>3</v>
      </c>
      <c r="C20" s="9">
        <v>8.4600000000000009</v>
      </c>
      <c r="D20" s="9">
        <v>5.84</v>
      </c>
      <c r="E20" s="9">
        <v>1.82</v>
      </c>
      <c r="F20" s="9">
        <v>0.2</v>
      </c>
      <c r="G20" s="9">
        <v>287</v>
      </c>
      <c r="H20" s="9">
        <f t="shared" si="3"/>
        <v>3.2087912087912085</v>
      </c>
      <c r="I20" s="9">
        <f t="shared" si="0"/>
        <v>0.10989010989010989</v>
      </c>
      <c r="J20" s="9">
        <f t="shared" si="1"/>
        <v>157.69230769230768</v>
      </c>
      <c r="K20" s="9">
        <f t="shared" si="2"/>
        <v>920.92307692307691</v>
      </c>
      <c r="L20" s="8">
        <v>12</v>
      </c>
      <c r="M20" s="9" t="s">
        <v>26</v>
      </c>
      <c r="N20" s="9">
        <v>3.14</v>
      </c>
      <c r="O20" s="9">
        <v>8.4600000000000009</v>
      </c>
      <c r="P20" s="9">
        <v>5.84</v>
      </c>
      <c r="Q20" s="9">
        <v>1.82</v>
      </c>
      <c r="R20" s="9">
        <v>0.2</v>
      </c>
      <c r="S20" s="9">
        <v>0.6</v>
      </c>
      <c r="T20" s="9">
        <v>0</v>
      </c>
      <c r="U20" s="9">
        <v>0</v>
      </c>
      <c r="V20" s="9">
        <v>7.67</v>
      </c>
      <c r="W20" s="9">
        <v>104</v>
      </c>
      <c r="X20" s="9">
        <v>0.35</v>
      </c>
      <c r="Y20" s="9">
        <v>287</v>
      </c>
      <c r="Z20" s="9">
        <v>0.2</v>
      </c>
      <c r="AA20" s="9">
        <v>1.4999999999999999E-2</v>
      </c>
      <c r="AB20" s="9">
        <v>156</v>
      </c>
      <c r="AC20" s="9">
        <v>5.33</v>
      </c>
      <c r="AD20" s="9">
        <v>123.1</v>
      </c>
      <c r="AE20" s="9">
        <v>2.75</v>
      </c>
      <c r="AF20" s="9">
        <v>1.81</v>
      </c>
      <c r="AG20" s="9">
        <v>25.9</v>
      </c>
      <c r="AH20" s="9">
        <v>294.77</v>
      </c>
      <c r="AI20" s="9">
        <v>20.8</v>
      </c>
      <c r="AJ20" s="9">
        <v>67.400000000000006</v>
      </c>
      <c r="AK20" s="9">
        <v>80.55</v>
      </c>
      <c r="AL20" s="9">
        <v>31</v>
      </c>
      <c r="AM20" s="24">
        <v>1.02</v>
      </c>
      <c r="AN20" s="24">
        <v>0.93300000000000005</v>
      </c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  <c r="JC20" s="2"/>
      <c r="JD20" s="2"/>
      <c r="JE20" s="2"/>
      <c r="JF20" s="2"/>
      <c r="JG20" s="2"/>
      <c r="JH20" s="2"/>
      <c r="JI20" s="2"/>
      <c r="JJ20" s="2"/>
      <c r="JK20" s="2"/>
      <c r="JL20" s="2"/>
      <c r="JM20" s="2"/>
      <c r="JN20" s="2"/>
      <c r="JO20" s="2"/>
      <c r="JP20" s="2"/>
      <c r="JQ20" s="2"/>
      <c r="JR20" s="2"/>
      <c r="JS20" s="2"/>
      <c r="JT20" s="2"/>
      <c r="JU20" s="2"/>
      <c r="JV20" s="2"/>
      <c r="JW20" s="2"/>
      <c r="JX20" s="2"/>
      <c r="JY20" s="2"/>
      <c r="JZ20" s="2"/>
      <c r="KA20" s="2"/>
      <c r="KB20" s="2"/>
      <c r="KC20" s="2"/>
      <c r="KD20" s="2"/>
      <c r="KE20" s="2"/>
      <c r="KF20" s="2"/>
      <c r="KG20" s="2"/>
      <c r="KH20" s="2"/>
      <c r="KI20" s="2"/>
      <c r="KJ20" s="2"/>
      <c r="KK20" s="2"/>
      <c r="KL20" s="2"/>
      <c r="KM20" s="2"/>
      <c r="KN20" s="2"/>
      <c r="KO20" s="2"/>
      <c r="KP20" s="2"/>
      <c r="KQ20" s="2"/>
      <c r="KR20" s="2"/>
      <c r="KS20" s="2"/>
      <c r="KT20" s="2"/>
      <c r="KU20" s="2"/>
      <c r="KV20" s="2"/>
      <c r="KW20" s="2"/>
      <c r="KX20" s="2"/>
      <c r="KY20" s="2"/>
      <c r="KZ20" s="2"/>
      <c r="LA20" s="2"/>
      <c r="LB20" s="2"/>
      <c r="LC20" s="2"/>
      <c r="LD20" s="2"/>
      <c r="LE20" s="2"/>
      <c r="LF20" s="2"/>
      <c r="LG20" s="2"/>
      <c r="LH20" s="2"/>
      <c r="LI20" s="2"/>
      <c r="LJ20" s="2"/>
      <c r="LK20" s="2"/>
      <c r="LL20" s="2"/>
      <c r="LM20" s="2"/>
      <c r="LN20" s="2"/>
      <c r="LO20" s="2"/>
      <c r="LP20" s="2"/>
      <c r="LQ20" s="2"/>
      <c r="LR20" s="2"/>
      <c r="LS20" s="2"/>
      <c r="LT20" s="2"/>
      <c r="LU20" s="2"/>
      <c r="LV20" s="2"/>
      <c r="LW20" s="2"/>
      <c r="LX20" s="2"/>
      <c r="LY20" s="2"/>
      <c r="LZ20" s="2"/>
      <c r="MA20" s="2"/>
      <c r="MB20" s="2"/>
      <c r="MC20" s="2"/>
      <c r="MD20" s="2"/>
      <c r="ME20" s="2"/>
      <c r="MF20" s="2"/>
      <c r="MG20" s="2"/>
      <c r="MH20" s="2"/>
      <c r="MI20" s="2"/>
      <c r="MJ20" s="2"/>
      <c r="MK20" s="2"/>
      <c r="ML20" s="2"/>
      <c r="MM20" s="2"/>
      <c r="MN20" s="2"/>
      <c r="MO20" s="2"/>
      <c r="MP20" s="2"/>
      <c r="MQ20" s="2"/>
      <c r="MR20" s="2"/>
      <c r="MS20" s="2"/>
      <c r="MT20" s="2"/>
      <c r="MU20" s="2"/>
      <c r="MV20" s="2"/>
      <c r="MW20" s="2"/>
      <c r="MX20" s="2"/>
      <c r="MY20" s="2"/>
      <c r="MZ20" s="2"/>
      <c r="NA20" s="2"/>
      <c r="NB20" s="2"/>
      <c r="NC20" s="2"/>
      <c r="ND20" s="2"/>
      <c r="NE20" s="2"/>
      <c r="NF20" s="2"/>
      <c r="NG20" s="2"/>
      <c r="NH20" s="2"/>
      <c r="NI20" s="2"/>
      <c r="NJ20" s="2"/>
      <c r="NK20" s="2"/>
      <c r="NL20" s="2"/>
      <c r="NM20" s="2"/>
      <c r="NN20" s="2"/>
      <c r="NO20" s="2"/>
      <c r="NP20" s="2"/>
      <c r="NQ20" s="2"/>
      <c r="NR20" s="2"/>
      <c r="NS20" s="2"/>
      <c r="NT20" s="2"/>
      <c r="NU20" s="2"/>
      <c r="NV20" s="2"/>
      <c r="NW20" s="2"/>
      <c r="NX20" s="2"/>
      <c r="NY20" s="2"/>
      <c r="NZ20" s="2"/>
      <c r="OA20" s="2"/>
      <c r="OB20" s="2"/>
      <c r="OC20" s="2"/>
      <c r="OD20" s="2"/>
      <c r="OE20" s="2"/>
      <c r="OF20" s="2"/>
      <c r="OG20" s="2"/>
      <c r="OH20" s="2"/>
      <c r="OI20" s="2"/>
      <c r="OJ20" s="2"/>
      <c r="OK20" s="2"/>
      <c r="OL20" s="2"/>
      <c r="OM20" s="2"/>
      <c r="ON20" s="2"/>
      <c r="OO20" s="2"/>
      <c r="OP20" s="2"/>
      <c r="OQ20" s="2"/>
      <c r="OR20" s="2"/>
      <c r="OS20" s="2"/>
      <c r="OT20" s="2"/>
      <c r="OU20" s="2"/>
      <c r="OV20" s="2"/>
      <c r="OW20" s="2"/>
      <c r="OX20" s="2"/>
      <c r="OY20" s="2"/>
      <c r="OZ20" s="2"/>
      <c r="PA20" s="2"/>
      <c r="PB20" s="2"/>
      <c r="PC20" s="2"/>
      <c r="PD20" s="2"/>
      <c r="PE20" s="2"/>
      <c r="PF20" s="2"/>
      <c r="PG20" s="2"/>
      <c r="PH20" s="2"/>
      <c r="PI20" s="2"/>
      <c r="PJ20" s="2"/>
      <c r="PK20" s="2"/>
      <c r="PL20" s="2"/>
      <c r="PM20" s="2"/>
      <c r="PN20" s="2"/>
      <c r="PO20" s="2"/>
      <c r="PP20" s="2"/>
      <c r="PQ20" s="2"/>
      <c r="PR20" s="2"/>
      <c r="PS20" s="2"/>
      <c r="PT20" s="2"/>
      <c r="PU20" s="2"/>
      <c r="PV20" s="2"/>
      <c r="PW20" s="2"/>
      <c r="PX20" s="2"/>
      <c r="PY20" s="2"/>
      <c r="PZ20" s="2"/>
      <c r="QA20" s="2"/>
      <c r="QB20" s="2"/>
      <c r="QC20" s="2"/>
      <c r="QD20" s="2"/>
      <c r="QE20" s="2"/>
      <c r="QF20" s="2"/>
      <c r="QG20" s="2"/>
      <c r="QH20" s="2"/>
      <c r="QI20" s="2"/>
      <c r="QJ20" s="2"/>
      <c r="QK20" s="2"/>
      <c r="QL20" s="2"/>
      <c r="QM20" s="2"/>
      <c r="QN20" s="2"/>
      <c r="QO20" s="2"/>
      <c r="QP20" s="2"/>
      <c r="QQ20" s="2"/>
      <c r="QR20" s="2"/>
      <c r="QS20" s="2"/>
      <c r="QT20" s="2"/>
      <c r="QU20" s="2"/>
      <c r="QV20" s="2"/>
      <c r="QW20" s="2"/>
      <c r="QX20" s="2"/>
      <c r="QY20" s="2"/>
      <c r="QZ20" s="2"/>
      <c r="RA20" s="2"/>
      <c r="RB20" s="2"/>
      <c r="RC20" s="2"/>
      <c r="RD20" s="2"/>
      <c r="RE20" s="2"/>
      <c r="RF20" s="2"/>
      <c r="RG20" s="2"/>
      <c r="RH20" s="2"/>
      <c r="RI20" s="2"/>
      <c r="RJ20" s="2"/>
      <c r="RK20" s="2"/>
      <c r="RL20" s="2"/>
      <c r="RM20" s="2"/>
      <c r="RN20" s="2"/>
      <c r="RO20" s="2"/>
      <c r="RP20" s="2"/>
      <c r="RQ20" s="2"/>
      <c r="RR20" s="2"/>
      <c r="RS20" s="2"/>
      <c r="RT20" s="2"/>
      <c r="RU20" s="2"/>
      <c r="RV20" s="2"/>
      <c r="RW20" s="2"/>
      <c r="RX20" s="2"/>
      <c r="RY20" s="2"/>
      <c r="RZ20" s="2"/>
      <c r="SA20" s="2"/>
      <c r="SB20" s="2"/>
      <c r="SC20" s="2"/>
      <c r="SD20" s="2"/>
      <c r="SE20" s="2"/>
      <c r="SF20" s="2"/>
      <c r="SG20" s="2"/>
      <c r="SH20" s="2"/>
      <c r="SI20" s="2"/>
      <c r="SJ20" s="2"/>
      <c r="SK20" s="2"/>
      <c r="SL20" s="2"/>
      <c r="SM20" s="2"/>
      <c r="SN20" s="2"/>
      <c r="SO20" s="2"/>
      <c r="SP20" s="2"/>
      <c r="SQ20" s="2"/>
      <c r="SR20" s="2"/>
      <c r="SS20" s="2"/>
      <c r="ST20" s="2"/>
      <c r="SU20" s="2"/>
      <c r="SV20" s="2"/>
      <c r="SW20" s="2"/>
      <c r="SX20" s="2"/>
      <c r="SY20" s="2"/>
      <c r="SZ20" s="2"/>
      <c r="TA20" s="2"/>
      <c r="TB20" s="2"/>
      <c r="TC20" s="2"/>
      <c r="TD20" s="2"/>
      <c r="TE20" s="2"/>
      <c r="TF20" s="2"/>
      <c r="TG20" s="2"/>
      <c r="TH20" s="2"/>
      <c r="TI20" s="2"/>
      <c r="TJ20" s="2"/>
      <c r="TK20" s="2"/>
      <c r="TL20" s="2"/>
      <c r="TM20" s="2"/>
      <c r="TN20" s="2"/>
      <c r="TO20" s="2"/>
      <c r="TP20" s="2"/>
      <c r="TQ20" s="2"/>
      <c r="TR20" s="2"/>
      <c r="TS20" s="2"/>
      <c r="TT20" s="2"/>
      <c r="TU20" s="2"/>
      <c r="TV20" s="2"/>
      <c r="TW20" s="2"/>
      <c r="TX20" s="2"/>
      <c r="TY20" s="2"/>
      <c r="TZ20" s="2"/>
      <c r="UA20" s="2"/>
      <c r="UB20" s="2"/>
      <c r="UC20" s="2"/>
      <c r="UD20" s="2"/>
      <c r="UE20" s="2"/>
      <c r="UF20" s="2"/>
      <c r="UG20" s="2"/>
      <c r="UH20" s="2"/>
      <c r="UI20" s="2"/>
      <c r="UJ20" s="2"/>
      <c r="UK20" s="2"/>
      <c r="UL20" s="2"/>
      <c r="UM20" s="2"/>
      <c r="UN20" s="2"/>
      <c r="UO20" s="2"/>
      <c r="UP20" s="2"/>
      <c r="UQ20" s="2"/>
      <c r="UR20" s="2"/>
      <c r="US20" s="2"/>
      <c r="UT20" s="2"/>
      <c r="UU20" s="2"/>
      <c r="UV20" s="2"/>
      <c r="UW20" s="2"/>
      <c r="UX20" s="2"/>
      <c r="UY20" s="2"/>
      <c r="UZ20" s="2"/>
      <c r="VA20" s="2"/>
      <c r="VB20" s="2"/>
      <c r="VC20" s="2"/>
      <c r="VD20" s="2"/>
      <c r="VE20" s="2"/>
      <c r="VF20" s="2"/>
      <c r="VG20" s="2"/>
      <c r="VH20" s="2"/>
      <c r="VI20" s="2"/>
      <c r="VJ20" s="2"/>
      <c r="VK20" s="2"/>
      <c r="VL20" s="2"/>
      <c r="VM20" s="2"/>
      <c r="VN20" s="2"/>
      <c r="VO20" s="2"/>
      <c r="VP20" s="2"/>
      <c r="VQ20" s="2"/>
      <c r="VR20" s="2"/>
      <c r="VS20" s="2"/>
      <c r="VT20" s="2"/>
      <c r="VU20" s="2"/>
      <c r="VV20" s="2"/>
      <c r="VW20" s="2"/>
      <c r="VX20" s="2"/>
      <c r="VY20" s="2"/>
      <c r="VZ20" s="2"/>
      <c r="WA20" s="2"/>
      <c r="WB20" s="2"/>
      <c r="WC20" s="2"/>
      <c r="WD20" s="2"/>
      <c r="WE20" s="2"/>
      <c r="WF20" s="2"/>
      <c r="WG20" s="2"/>
      <c r="WH20" s="2"/>
      <c r="WI20" s="2"/>
      <c r="WJ20" s="2"/>
      <c r="WK20" s="2"/>
      <c r="WL20" s="2"/>
      <c r="WM20" s="2"/>
      <c r="WN20" s="2"/>
      <c r="WO20" s="2"/>
      <c r="WP20" s="2"/>
      <c r="WQ20" s="2"/>
      <c r="WR20" s="2"/>
      <c r="WS20" s="2"/>
      <c r="WT20" s="2"/>
      <c r="WU20" s="2"/>
      <c r="WV20" s="2"/>
      <c r="WW20" s="2"/>
      <c r="WX20" s="2"/>
      <c r="WY20" s="2"/>
      <c r="WZ20" s="2"/>
      <c r="XA20" s="2"/>
      <c r="XB20" s="2"/>
      <c r="XC20" s="2"/>
      <c r="XD20" s="2"/>
      <c r="XE20" s="2"/>
      <c r="XF20" s="2"/>
      <c r="XG20" s="2"/>
      <c r="XH20" s="2"/>
      <c r="XI20" s="2"/>
      <c r="XJ20" s="2"/>
      <c r="XK20" s="2"/>
      <c r="XL20" s="2"/>
      <c r="XM20" s="2"/>
      <c r="XN20" s="2"/>
      <c r="XO20" s="2"/>
      <c r="XP20" s="2"/>
      <c r="XQ20" s="2"/>
      <c r="XR20" s="2"/>
      <c r="XS20" s="2"/>
      <c r="XT20" s="2"/>
      <c r="XU20" s="2"/>
      <c r="XV20" s="2"/>
      <c r="XW20" s="2"/>
      <c r="XX20" s="2"/>
      <c r="XY20" s="2"/>
      <c r="XZ20" s="2"/>
      <c r="YA20" s="2"/>
      <c r="YB20" s="2"/>
      <c r="YC20" s="2"/>
      <c r="YD20" s="2"/>
      <c r="YE20" s="2"/>
      <c r="YF20" s="2"/>
      <c r="YG20" s="2"/>
      <c r="YH20" s="2"/>
      <c r="YI20" s="2"/>
      <c r="YJ20" s="2"/>
      <c r="YK20" s="2"/>
      <c r="YL20" s="2"/>
      <c r="YM20" s="2"/>
      <c r="YN20" s="2"/>
      <c r="YO20" s="2"/>
      <c r="YP20" s="2"/>
      <c r="YQ20" s="2"/>
      <c r="YR20" s="2"/>
      <c r="YS20" s="2"/>
      <c r="YT20" s="2"/>
      <c r="YU20" s="2"/>
      <c r="YV20" s="2"/>
      <c r="YW20" s="2"/>
      <c r="YX20" s="2"/>
      <c r="YY20" s="2"/>
      <c r="YZ20" s="2"/>
      <c r="ZA20" s="2"/>
      <c r="ZB20" s="2"/>
      <c r="ZC20" s="2"/>
      <c r="ZD20" s="2"/>
      <c r="ZE20" s="2"/>
      <c r="ZF20" s="2"/>
      <c r="ZG20" s="2"/>
      <c r="ZH20" s="2"/>
      <c r="ZI20" s="2"/>
      <c r="ZJ20" s="2"/>
      <c r="ZK20" s="2"/>
      <c r="ZL20" s="2"/>
      <c r="ZM20" s="2"/>
      <c r="ZN20" s="2"/>
      <c r="ZO20" s="2"/>
      <c r="ZP20" s="2"/>
      <c r="ZQ20" s="2"/>
      <c r="ZR20" s="2"/>
      <c r="ZS20" s="2"/>
      <c r="ZT20" s="2"/>
      <c r="ZU20" s="2"/>
      <c r="ZV20" s="2"/>
      <c r="ZW20" s="2"/>
      <c r="ZX20" s="2"/>
      <c r="ZY20" s="2"/>
      <c r="ZZ20" s="2"/>
      <c r="AAA20" s="2"/>
      <c r="AAB20" s="2"/>
      <c r="AAC20" s="2"/>
      <c r="AAD20" s="2"/>
      <c r="AAE20" s="2"/>
      <c r="AAF20" s="2"/>
      <c r="AAG20" s="2"/>
      <c r="AAH20" s="2"/>
      <c r="AAI20" s="2"/>
      <c r="AAJ20" s="2"/>
      <c r="AAK20" s="2"/>
      <c r="AAL20" s="2"/>
      <c r="AAM20" s="2"/>
      <c r="AAN20" s="2"/>
      <c r="AAO20" s="2"/>
      <c r="AAP20" s="2"/>
      <c r="AAQ20" s="2"/>
      <c r="AAR20" s="2"/>
      <c r="AAS20" s="2"/>
      <c r="AAT20" s="2"/>
      <c r="AAU20" s="2"/>
      <c r="AAV20" s="2"/>
      <c r="AAW20" s="2"/>
      <c r="AAX20" s="2"/>
      <c r="AAY20" s="2"/>
      <c r="AAZ20" s="2"/>
      <c r="ABA20" s="2"/>
      <c r="ABB20" s="2"/>
      <c r="ABC20" s="2"/>
      <c r="ABD20" s="2"/>
      <c r="ABE20" s="2"/>
      <c r="ABF20" s="2"/>
      <c r="ABG20" s="2"/>
      <c r="ABH20" s="2"/>
      <c r="ABI20" s="2"/>
      <c r="ABJ20" s="2"/>
      <c r="ABK20" s="2"/>
      <c r="ABL20" s="2"/>
      <c r="ABM20" s="2"/>
      <c r="ABN20" s="2"/>
      <c r="ABO20" s="2"/>
      <c r="ABP20" s="2"/>
      <c r="ABQ20" s="2"/>
      <c r="ABR20" s="2"/>
      <c r="ABS20" s="2"/>
      <c r="ABT20" s="2"/>
      <c r="ABU20" s="2"/>
      <c r="ABV20" s="2"/>
      <c r="ABW20" s="2"/>
      <c r="ABX20" s="2"/>
      <c r="ABY20" s="2"/>
      <c r="ABZ20" s="2"/>
      <c r="ACA20" s="2"/>
      <c r="ACB20" s="2"/>
      <c r="ACC20" s="2"/>
      <c r="ACD20" s="2"/>
      <c r="ACE20" s="2"/>
      <c r="ACF20" s="2"/>
      <c r="ACG20" s="2"/>
      <c r="ACH20" s="2"/>
      <c r="ACI20" s="2"/>
      <c r="ACJ20" s="2"/>
      <c r="ACK20" s="2"/>
      <c r="ACL20" s="2"/>
      <c r="ACM20" s="2"/>
      <c r="ACN20" s="2"/>
      <c r="ACO20" s="2"/>
      <c r="ACP20" s="2"/>
      <c r="ACQ20" s="2"/>
      <c r="ACR20" s="2"/>
      <c r="ACS20" s="2"/>
      <c r="ACT20" s="2"/>
      <c r="ACU20" s="2"/>
      <c r="ACV20" s="2"/>
      <c r="ACW20" s="2"/>
      <c r="ACX20" s="2"/>
      <c r="ACY20" s="2"/>
      <c r="ACZ20" s="2"/>
      <c r="ADA20" s="2"/>
      <c r="ADB20" s="2"/>
      <c r="ADC20" s="2"/>
      <c r="ADD20" s="2"/>
      <c r="ADE20" s="2"/>
      <c r="ADF20" s="2"/>
      <c r="ADG20" s="2"/>
      <c r="ADH20" s="2"/>
      <c r="ADI20" s="2"/>
      <c r="ADJ20" s="2"/>
      <c r="ADK20" s="2"/>
      <c r="ADL20" s="2"/>
      <c r="ADM20" s="2"/>
      <c r="ADN20" s="2"/>
      <c r="ADO20" s="2"/>
      <c r="ADP20" s="2"/>
      <c r="ADQ20" s="2"/>
      <c r="ADR20" s="2"/>
      <c r="ADS20" s="2"/>
      <c r="ADT20" s="2"/>
      <c r="ADU20" s="2"/>
      <c r="ADV20" s="2"/>
      <c r="ADW20" s="2"/>
      <c r="ADX20" s="2"/>
      <c r="ADY20" s="2"/>
      <c r="ADZ20" s="2"/>
      <c r="AEA20" s="2"/>
      <c r="AEB20" s="2"/>
      <c r="AEC20" s="2"/>
      <c r="AED20" s="2"/>
      <c r="AEE20" s="2"/>
      <c r="AEF20" s="2"/>
      <c r="AEG20" s="2"/>
      <c r="AEH20" s="2"/>
      <c r="AEI20" s="2"/>
      <c r="AEJ20" s="2"/>
      <c r="AEK20" s="2"/>
      <c r="AEL20" s="2"/>
      <c r="AEM20" s="2"/>
      <c r="AEN20" s="2"/>
      <c r="AEO20" s="2"/>
      <c r="AEP20" s="2"/>
      <c r="AEQ20" s="2"/>
      <c r="AER20" s="2"/>
      <c r="AES20" s="2"/>
      <c r="AET20" s="2"/>
      <c r="AEU20" s="2"/>
      <c r="AEV20" s="2"/>
      <c r="AEW20" s="2"/>
      <c r="AEX20" s="2"/>
      <c r="AEY20" s="2"/>
      <c r="AEZ20" s="2"/>
      <c r="AFA20" s="2"/>
      <c r="AFB20" s="2"/>
      <c r="AFC20" s="2"/>
      <c r="AFD20" s="2"/>
      <c r="AFE20" s="2"/>
      <c r="AFF20" s="2"/>
      <c r="AFG20" s="2"/>
      <c r="AFH20" s="2"/>
      <c r="AFI20" s="2"/>
      <c r="AFJ20" s="2"/>
      <c r="AFK20" s="2"/>
      <c r="AFL20" s="2"/>
      <c r="AFM20" s="2"/>
      <c r="AFN20" s="2"/>
      <c r="AFO20" s="2"/>
      <c r="AFP20" s="2"/>
      <c r="AFQ20" s="2"/>
      <c r="AFR20" s="2"/>
      <c r="AFS20" s="2"/>
      <c r="AFT20" s="2"/>
      <c r="AFU20" s="2"/>
      <c r="AFV20" s="2"/>
      <c r="AFW20" s="2"/>
      <c r="AFX20" s="2"/>
      <c r="AFY20" s="2"/>
      <c r="AFZ20" s="2"/>
      <c r="AGA20" s="2"/>
      <c r="AGB20" s="2"/>
      <c r="AGC20" s="2"/>
      <c r="AGD20" s="2"/>
      <c r="AGE20" s="2"/>
      <c r="AGF20" s="2"/>
      <c r="AGG20" s="2"/>
      <c r="AGH20" s="2"/>
      <c r="AGI20" s="2"/>
      <c r="AGJ20" s="2"/>
      <c r="AGK20" s="2"/>
      <c r="AGL20" s="2"/>
      <c r="AGM20" s="2"/>
      <c r="AGN20" s="2"/>
      <c r="AGO20" s="2"/>
      <c r="AGP20" s="2"/>
      <c r="AGQ20" s="2"/>
      <c r="AGR20" s="2"/>
      <c r="AGS20" s="2"/>
      <c r="AGT20" s="2"/>
      <c r="AGU20" s="2"/>
      <c r="AGV20" s="2"/>
      <c r="AGW20" s="2"/>
      <c r="AGX20" s="2"/>
      <c r="AGY20" s="2"/>
      <c r="AGZ20" s="2"/>
      <c r="AHA20" s="2"/>
      <c r="AHB20" s="2"/>
      <c r="AHC20" s="2"/>
      <c r="AHD20" s="2"/>
      <c r="AHE20" s="2"/>
      <c r="AHF20" s="2"/>
      <c r="AHG20" s="2"/>
      <c r="AHH20" s="2"/>
      <c r="AHI20" s="2"/>
      <c r="AHJ20" s="2"/>
      <c r="AHK20" s="2"/>
      <c r="AHL20" s="2"/>
      <c r="AHM20" s="2"/>
      <c r="AHN20" s="2"/>
      <c r="AHO20" s="2"/>
      <c r="AHP20" s="2"/>
      <c r="AHQ20" s="2"/>
      <c r="AHR20" s="2"/>
      <c r="AHS20" s="2"/>
      <c r="AHT20" s="2"/>
      <c r="AHU20" s="2"/>
      <c r="AHV20" s="2"/>
      <c r="AHW20" s="2"/>
      <c r="AHX20" s="2"/>
      <c r="AHY20" s="2"/>
      <c r="AHZ20" s="2"/>
      <c r="AIA20" s="2"/>
      <c r="AIB20" s="2"/>
      <c r="AIC20" s="2"/>
      <c r="AID20" s="2"/>
      <c r="AIE20" s="2"/>
      <c r="AIF20" s="2"/>
      <c r="AIG20" s="2"/>
      <c r="AIH20" s="2"/>
      <c r="AII20" s="2"/>
      <c r="AIJ20" s="2"/>
      <c r="AIK20" s="2"/>
      <c r="AIL20" s="2"/>
      <c r="AIM20" s="2"/>
      <c r="AIN20" s="2"/>
      <c r="AIO20" s="2"/>
      <c r="AIP20" s="2"/>
      <c r="AIQ20" s="2"/>
      <c r="AIR20" s="2"/>
      <c r="AIS20" s="2"/>
      <c r="AIT20" s="2"/>
      <c r="AIU20" s="2"/>
      <c r="AIV20" s="2"/>
      <c r="AIW20" s="2"/>
      <c r="AIX20" s="2"/>
      <c r="AIY20" s="2"/>
      <c r="AIZ20" s="2"/>
      <c r="AJA20" s="2"/>
      <c r="AJB20" s="2"/>
      <c r="AJC20" s="2"/>
      <c r="AJD20" s="2"/>
      <c r="AJE20" s="2"/>
      <c r="AJF20" s="2"/>
      <c r="AJG20" s="2"/>
      <c r="AJH20" s="2"/>
      <c r="AJI20" s="2"/>
      <c r="AJJ20" s="2"/>
      <c r="AJK20" s="2"/>
      <c r="AJL20" s="2"/>
      <c r="AJM20" s="2"/>
      <c r="AJN20" s="2"/>
      <c r="AJO20" s="2"/>
      <c r="AJP20" s="2"/>
      <c r="AJQ20" s="2"/>
      <c r="AJR20" s="2"/>
      <c r="AJS20" s="2"/>
      <c r="AJT20" s="2"/>
      <c r="AJU20" s="2"/>
      <c r="AJV20" s="2"/>
      <c r="AJW20" s="2"/>
      <c r="AJX20" s="2"/>
      <c r="AJY20" s="2"/>
      <c r="AJZ20" s="2"/>
      <c r="AKA20" s="2"/>
    </row>
    <row r="21" spans="1:963">
      <c r="A21" s="7">
        <v>20</v>
      </c>
      <c r="B21" s="2">
        <v>3</v>
      </c>
      <c r="C21" s="9">
        <v>6.22</v>
      </c>
      <c r="D21" s="9">
        <v>4.1900000000000004</v>
      </c>
      <c r="E21" s="9">
        <v>1.68</v>
      </c>
      <c r="F21" s="9">
        <v>0.08</v>
      </c>
      <c r="G21" s="9">
        <v>422</v>
      </c>
      <c r="H21" s="9">
        <f t="shared" si="3"/>
        <v>2.4940476190476195</v>
      </c>
      <c r="I21" s="9">
        <f t="shared" si="0"/>
        <v>4.7619047619047623E-2</v>
      </c>
      <c r="J21" s="9">
        <f t="shared" si="1"/>
        <v>251.1904761904762</v>
      </c>
      <c r="K21" s="9">
        <f t="shared" si="2"/>
        <v>1052.4880952380954</v>
      </c>
      <c r="L21" s="8">
        <v>4</v>
      </c>
      <c r="M21" s="9" t="s">
        <v>26</v>
      </c>
      <c r="N21" s="9">
        <v>4.4000000000000004</v>
      </c>
      <c r="O21" s="9">
        <v>6.22</v>
      </c>
      <c r="P21" s="9">
        <v>4.1900000000000004</v>
      </c>
      <c r="Q21" s="9">
        <v>1.68</v>
      </c>
      <c r="R21" s="9">
        <v>0.08</v>
      </c>
      <c r="S21" s="9">
        <v>0.27</v>
      </c>
      <c r="T21" s="9">
        <v>0</v>
      </c>
      <c r="U21" s="9">
        <v>0</v>
      </c>
      <c r="V21" s="9">
        <v>7.04</v>
      </c>
      <c r="W21" s="9">
        <v>94</v>
      </c>
      <c r="X21" s="9">
        <v>0.3</v>
      </c>
      <c r="Y21" s="9">
        <v>422</v>
      </c>
      <c r="Z21" s="9">
        <v>0.4</v>
      </c>
      <c r="AA21" s="9">
        <v>2.5999999999999999E-3</v>
      </c>
      <c r="AB21" s="9">
        <v>154.19999999999999</v>
      </c>
      <c r="AC21" s="9">
        <v>4.4800000000000004</v>
      </c>
      <c r="AD21" s="9">
        <v>119.8</v>
      </c>
      <c r="AE21" s="9">
        <v>2.56</v>
      </c>
      <c r="AF21" s="9">
        <v>1.46</v>
      </c>
      <c r="AG21" s="9">
        <v>19.809999999999999</v>
      </c>
      <c r="AH21" s="9">
        <v>284.42</v>
      </c>
      <c r="AI21" s="9">
        <v>8.8000000000000007</v>
      </c>
      <c r="AJ21" s="9">
        <v>26.6</v>
      </c>
      <c r="AK21" s="9">
        <v>68.760000000000005</v>
      </c>
      <c r="AL21" s="9">
        <v>27.22</v>
      </c>
      <c r="AM21" s="24">
        <v>1.028</v>
      </c>
      <c r="AN21" s="24">
        <v>0.24</v>
      </c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  <c r="JC21" s="2"/>
      <c r="JD21" s="2"/>
      <c r="JE21" s="2"/>
      <c r="JF21" s="2"/>
      <c r="JG21" s="2"/>
      <c r="JH21" s="2"/>
      <c r="JI21" s="2"/>
      <c r="JJ21" s="2"/>
      <c r="JK21" s="2"/>
      <c r="JL21" s="2"/>
      <c r="JM21" s="2"/>
      <c r="JN21" s="2"/>
      <c r="JO21" s="2"/>
      <c r="JP21" s="2"/>
      <c r="JQ21" s="2"/>
      <c r="JR21" s="2"/>
      <c r="JS21" s="2"/>
      <c r="JT21" s="2"/>
      <c r="JU21" s="2"/>
      <c r="JV21" s="2"/>
      <c r="JW21" s="2"/>
      <c r="JX21" s="2"/>
      <c r="JY21" s="2"/>
      <c r="JZ21" s="2"/>
      <c r="KA21" s="2"/>
      <c r="KB21" s="2"/>
      <c r="KC21" s="2"/>
      <c r="KD21" s="2"/>
      <c r="KE21" s="2"/>
      <c r="KF21" s="2"/>
      <c r="KG21" s="2"/>
      <c r="KH21" s="2"/>
      <c r="KI21" s="2"/>
      <c r="KJ21" s="2"/>
      <c r="KK21" s="2"/>
      <c r="KL21" s="2"/>
      <c r="KM21" s="2"/>
      <c r="KN21" s="2"/>
      <c r="KO21" s="2"/>
      <c r="KP21" s="2"/>
      <c r="KQ21" s="2"/>
      <c r="KR21" s="2"/>
      <c r="KS21" s="2"/>
      <c r="KT21" s="2"/>
      <c r="KU21" s="2"/>
      <c r="KV21" s="2"/>
      <c r="KW21" s="2"/>
      <c r="KX21" s="2"/>
      <c r="KY21" s="2"/>
      <c r="KZ21" s="2"/>
      <c r="LA21" s="2"/>
      <c r="LB21" s="2"/>
      <c r="LC21" s="2"/>
      <c r="LD21" s="2"/>
      <c r="LE21" s="2"/>
      <c r="LF21" s="2"/>
      <c r="LG21" s="2"/>
      <c r="LH21" s="2"/>
      <c r="LI21" s="2"/>
      <c r="LJ21" s="2"/>
      <c r="LK21" s="2"/>
      <c r="LL21" s="2"/>
      <c r="LM21" s="2"/>
      <c r="LN21" s="2"/>
      <c r="LO21" s="2"/>
      <c r="LP21" s="2"/>
      <c r="LQ21" s="2"/>
      <c r="LR21" s="2"/>
      <c r="LS21" s="2"/>
      <c r="LT21" s="2"/>
      <c r="LU21" s="2"/>
      <c r="LV21" s="2"/>
      <c r="LW21" s="2"/>
      <c r="LX21" s="2"/>
      <c r="LY21" s="2"/>
      <c r="LZ21" s="2"/>
      <c r="MA21" s="2"/>
      <c r="MB21" s="2"/>
      <c r="MC21" s="2"/>
      <c r="MD21" s="2"/>
      <c r="ME21" s="2"/>
      <c r="MF21" s="2"/>
      <c r="MG21" s="2"/>
      <c r="MH21" s="2"/>
      <c r="MI21" s="2"/>
      <c r="MJ21" s="2"/>
      <c r="MK21" s="2"/>
      <c r="ML21" s="2"/>
      <c r="MM21" s="2"/>
      <c r="MN21" s="2"/>
      <c r="MO21" s="2"/>
      <c r="MP21" s="2"/>
      <c r="MQ21" s="2"/>
      <c r="MR21" s="2"/>
      <c r="MS21" s="2"/>
      <c r="MT21" s="2"/>
      <c r="MU21" s="2"/>
      <c r="MV21" s="2"/>
      <c r="MW21" s="2"/>
      <c r="MX21" s="2"/>
      <c r="MY21" s="2"/>
      <c r="MZ21" s="2"/>
      <c r="NA21" s="2"/>
      <c r="NB21" s="2"/>
      <c r="NC21" s="2"/>
      <c r="ND21" s="2"/>
      <c r="NE21" s="2"/>
      <c r="NF21" s="2"/>
      <c r="NG21" s="2"/>
      <c r="NH21" s="2"/>
      <c r="NI21" s="2"/>
      <c r="NJ21" s="2"/>
      <c r="NK21" s="2"/>
      <c r="NL21" s="2"/>
      <c r="NM21" s="2"/>
      <c r="NN21" s="2"/>
      <c r="NO21" s="2"/>
      <c r="NP21" s="2"/>
      <c r="NQ21" s="2"/>
      <c r="NR21" s="2"/>
      <c r="NS21" s="2"/>
      <c r="NT21" s="2"/>
      <c r="NU21" s="2"/>
      <c r="NV21" s="2"/>
      <c r="NW21" s="2"/>
      <c r="NX21" s="2"/>
      <c r="NY21" s="2"/>
      <c r="NZ21" s="2"/>
      <c r="OA21" s="2"/>
      <c r="OB21" s="2"/>
      <c r="OC21" s="2"/>
      <c r="OD21" s="2"/>
      <c r="OE21" s="2"/>
      <c r="OF21" s="2"/>
      <c r="OG21" s="2"/>
      <c r="OH21" s="2"/>
      <c r="OI21" s="2"/>
      <c r="OJ21" s="2"/>
      <c r="OK21" s="2"/>
      <c r="OL21" s="2"/>
      <c r="OM21" s="2"/>
      <c r="ON21" s="2"/>
      <c r="OO21" s="2"/>
      <c r="OP21" s="2"/>
      <c r="OQ21" s="2"/>
      <c r="OR21" s="2"/>
      <c r="OS21" s="2"/>
      <c r="OT21" s="2"/>
      <c r="OU21" s="2"/>
      <c r="OV21" s="2"/>
      <c r="OW21" s="2"/>
      <c r="OX21" s="2"/>
      <c r="OY21" s="2"/>
      <c r="OZ21" s="2"/>
      <c r="PA21" s="2"/>
      <c r="PB21" s="2"/>
      <c r="PC21" s="2"/>
      <c r="PD21" s="2"/>
      <c r="PE21" s="2"/>
      <c r="PF21" s="2"/>
      <c r="PG21" s="2"/>
      <c r="PH21" s="2"/>
      <c r="PI21" s="2"/>
      <c r="PJ21" s="2"/>
      <c r="PK21" s="2"/>
      <c r="PL21" s="2"/>
      <c r="PM21" s="2"/>
      <c r="PN21" s="2"/>
      <c r="PO21" s="2"/>
      <c r="PP21" s="2"/>
      <c r="PQ21" s="2"/>
      <c r="PR21" s="2"/>
      <c r="PS21" s="2"/>
      <c r="PT21" s="2"/>
      <c r="PU21" s="2"/>
      <c r="PV21" s="2"/>
      <c r="PW21" s="2"/>
      <c r="PX21" s="2"/>
      <c r="PY21" s="2"/>
      <c r="PZ21" s="2"/>
      <c r="QA21" s="2"/>
      <c r="QB21" s="2"/>
      <c r="QC21" s="2"/>
      <c r="QD21" s="2"/>
      <c r="QE21" s="2"/>
      <c r="QF21" s="2"/>
      <c r="QG21" s="2"/>
      <c r="QH21" s="2"/>
      <c r="QI21" s="2"/>
      <c r="QJ21" s="2"/>
      <c r="QK21" s="2"/>
      <c r="QL21" s="2"/>
      <c r="QM21" s="2"/>
      <c r="QN21" s="2"/>
      <c r="QO21" s="2"/>
      <c r="QP21" s="2"/>
      <c r="QQ21" s="2"/>
      <c r="QR21" s="2"/>
      <c r="QS21" s="2"/>
      <c r="QT21" s="2"/>
      <c r="QU21" s="2"/>
      <c r="QV21" s="2"/>
      <c r="QW21" s="2"/>
      <c r="QX21" s="2"/>
      <c r="QY21" s="2"/>
      <c r="QZ21" s="2"/>
      <c r="RA21" s="2"/>
      <c r="RB21" s="2"/>
      <c r="RC21" s="2"/>
      <c r="RD21" s="2"/>
      <c r="RE21" s="2"/>
      <c r="RF21" s="2"/>
      <c r="RG21" s="2"/>
      <c r="RH21" s="2"/>
      <c r="RI21" s="2"/>
      <c r="RJ21" s="2"/>
      <c r="RK21" s="2"/>
      <c r="RL21" s="2"/>
      <c r="RM21" s="2"/>
      <c r="RN21" s="2"/>
      <c r="RO21" s="2"/>
      <c r="RP21" s="2"/>
      <c r="RQ21" s="2"/>
      <c r="RR21" s="2"/>
      <c r="RS21" s="2"/>
      <c r="RT21" s="2"/>
      <c r="RU21" s="2"/>
      <c r="RV21" s="2"/>
      <c r="RW21" s="2"/>
      <c r="RX21" s="2"/>
      <c r="RY21" s="2"/>
      <c r="RZ21" s="2"/>
      <c r="SA21" s="2"/>
      <c r="SB21" s="2"/>
      <c r="SC21" s="2"/>
      <c r="SD21" s="2"/>
      <c r="SE21" s="2"/>
      <c r="SF21" s="2"/>
      <c r="SG21" s="2"/>
      <c r="SH21" s="2"/>
      <c r="SI21" s="2"/>
      <c r="SJ21" s="2"/>
      <c r="SK21" s="2"/>
      <c r="SL21" s="2"/>
      <c r="SM21" s="2"/>
      <c r="SN21" s="2"/>
      <c r="SO21" s="2"/>
      <c r="SP21" s="2"/>
      <c r="SQ21" s="2"/>
      <c r="SR21" s="2"/>
      <c r="SS21" s="2"/>
      <c r="ST21" s="2"/>
      <c r="SU21" s="2"/>
      <c r="SV21" s="2"/>
      <c r="SW21" s="2"/>
      <c r="SX21" s="2"/>
      <c r="SY21" s="2"/>
      <c r="SZ21" s="2"/>
      <c r="TA21" s="2"/>
      <c r="TB21" s="2"/>
      <c r="TC21" s="2"/>
      <c r="TD21" s="2"/>
      <c r="TE21" s="2"/>
      <c r="TF21" s="2"/>
      <c r="TG21" s="2"/>
      <c r="TH21" s="2"/>
      <c r="TI21" s="2"/>
      <c r="TJ21" s="2"/>
      <c r="TK21" s="2"/>
      <c r="TL21" s="2"/>
      <c r="TM21" s="2"/>
      <c r="TN21" s="2"/>
      <c r="TO21" s="2"/>
      <c r="TP21" s="2"/>
      <c r="TQ21" s="2"/>
      <c r="TR21" s="2"/>
      <c r="TS21" s="2"/>
      <c r="TT21" s="2"/>
      <c r="TU21" s="2"/>
      <c r="TV21" s="2"/>
      <c r="TW21" s="2"/>
      <c r="TX21" s="2"/>
      <c r="TY21" s="2"/>
      <c r="TZ21" s="2"/>
      <c r="UA21" s="2"/>
      <c r="UB21" s="2"/>
      <c r="UC21" s="2"/>
      <c r="UD21" s="2"/>
      <c r="UE21" s="2"/>
      <c r="UF21" s="2"/>
      <c r="UG21" s="2"/>
      <c r="UH21" s="2"/>
      <c r="UI21" s="2"/>
      <c r="UJ21" s="2"/>
      <c r="UK21" s="2"/>
      <c r="UL21" s="2"/>
      <c r="UM21" s="2"/>
      <c r="UN21" s="2"/>
      <c r="UO21" s="2"/>
      <c r="UP21" s="2"/>
      <c r="UQ21" s="2"/>
      <c r="UR21" s="2"/>
      <c r="US21" s="2"/>
      <c r="UT21" s="2"/>
      <c r="UU21" s="2"/>
      <c r="UV21" s="2"/>
      <c r="UW21" s="2"/>
      <c r="UX21" s="2"/>
      <c r="UY21" s="2"/>
      <c r="UZ21" s="2"/>
      <c r="VA21" s="2"/>
      <c r="VB21" s="2"/>
      <c r="VC21" s="2"/>
      <c r="VD21" s="2"/>
      <c r="VE21" s="2"/>
      <c r="VF21" s="2"/>
      <c r="VG21" s="2"/>
      <c r="VH21" s="2"/>
      <c r="VI21" s="2"/>
      <c r="VJ21" s="2"/>
      <c r="VK21" s="2"/>
      <c r="VL21" s="2"/>
      <c r="VM21" s="2"/>
      <c r="VN21" s="2"/>
      <c r="VO21" s="2"/>
      <c r="VP21" s="2"/>
      <c r="VQ21" s="2"/>
      <c r="VR21" s="2"/>
      <c r="VS21" s="2"/>
      <c r="VT21" s="2"/>
      <c r="VU21" s="2"/>
      <c r="VV21" s="2"/>
      <c r="VW21" s="2"/>
      <c r="VX21" s="2"/>
      <c r="VY21" s="2"/>
      <c r="VZ21" s="2"/>
      <c r="WA21" s="2"/>
      <c r="WB21" s="2"/>
      <c r="WC21" s="2"/>
      <c r="WD21" s="2"/>
      <c r="WE21" s="2"/>
      <c r="WF21" s="2"/>
      <c r="WG21" s="2"/>
      <c r="WH21" s="2"/>
      <c r="WI21" s="2"/>
      <c r="WJ21" s="2"/>
      <c r="WK21" s="2"/>
      <c r="WL21" s="2"/>
      <c r="WM21" s="2"/>
      <c r="WN21" s="2"/>
      <c r="WO21" s="2"/>
      <c r="WP21" s="2"/>
      <c r="WQ21" s="2"/>
      <c r="WR21" s="2"/>
      <c r="WS21" s="2"/>
      <c r="WT21" s="2"/>
      <c r="WU21" s="2"/>
      <c r="WV21" s="2"/>
      <c r="WW21" s="2"/>
      <c r="WX21" s="2"/>
      <c r="WY21" s="2"/>
      <c r="WZ21" s="2"/>
      <c r="XA21" s="2"/>
      <c r="XB21" s="2"/>
      <c r="XC21" s="2"/>
      <c r="XD21" s="2"/>
      <c r="XE21" s="2"/>
      <c r="XF21" s="2"/>
      <c r="XG21" s="2"/>
      <c r="XH21" s="2"/>
      <c r="XI21" s="2"/>
      <c r="XJ21" s="2"/>
      <c r="XK21" s="2"/>
      <c r="XL21" s="2"/>
      <c r="XM21" s="2"/>
      <c r="XN21" s="2"/>
      <c r="XO21" s="2"/>
      <c r="XP21" s="2"/>
      <c r="XQ21" s="2"/>
      <c r="XR21" s="2"/>
      <c r="XS21" s="2"/>
      <c r="XT21" s="2"/>
      <c r="XU21" s="2"/>
      <c r="XV21" s="2"/>
      <c r="XW21" s="2"/>
      <c r="XX21" s="2"/>
      <c r="XY21" s="2"/>
      <c r="XZ21" s="2"/>
      <c r="YA21" s="2"/>
      <c r="YB21" s="2"/>
      <c r="YC21" s="2"/>
      <c r="YD21" s="2"/>
      <c r="YE21" s="2"/>
      <c r="YF21" s="2"/>
      <c r="YG21" s="2"/>
      <c r="YH21" s="2"/>
      <c r="YI21" s="2"/>
      <c r="YJ21" s="2"/>
      <c r="YK21" s="2"/>
      <c r="YL21" s="2"/>
      <c r="YM21" s="2"/>
      <c r="YN21" s="2"/>
      <c r="YO21" s="2"/>
      <c r="YP21" s="2"/>
      <c r="YQ21" s="2"/>
      <c r="YR21" s="2"/>
      <c r="YS21" s="2"/>
      <c r="YT21" s="2"/>
      <c r="YU21" s="2"/>
      <c r="YV21" s="2"/>
      <c r="YW21" s="2"/>
      <c r="YX21" s="2"/>
      <c r="YY21" s="2"/>
      <c r="YZ21" s="2"/>
      <c r="ZA21" s="2"/>
      <c r="ZB21" s="2"/>
      <c r="ZC21" s="2"/>
      <c r="ZD21" s="2"/>
      <c r="ZE21" s="2"/>
      <c r="ZF21" s="2"/>
      <c r="ZG21" s="2"/>
      <c r="ZH21" s="2"/>
      <c r="ZI21" s="2"/>
      <c r="ZJ21" s="2"/>
      <c r="ZK21" s="2"/>
      <c r="ZL21" s="2"/>
      <c r="ZM21" s="2"/>
      <c r="ZN21" s="2"/>
      <c r="ZO21" s="2"/>
      <c r="ZP21" s="2"/>
      <c r="ZQ21" s="2"/>
      <c r="ZR21" s="2"/>
      <c r="ZS21" s="2"/>
      <c r="ZT21" s="2"/>
      <c r="ZU21" s="2"/>
      <c r="ZV21" s="2"/>
      <c r="ZW21" s="2"/>
      <c r="ZX21" s="2"/>
      <c r="ZY21" s="2"/>
      <c r="ZZ21" s="2"/>
      <c r="AAA21" s="2"/>
      <c r="AAB21" s="2"/>
      <c r="AAC21" s="2"/>
      <c r="AAD21" s="2"/>
      <c r="AAE21" s="2"/>
      <c r="AAF21" s="2"/>
      <c r="AAG21" s="2"/>
      <c r="AAH21" s="2"/>
      <c r="AAI21" s="2"/>
      <c r="AAJ21" s="2"/>
      <c r="AAK21" s="2"/>
      <c r="AAL21" s="2"/>
      <c r="AAM21" s="2"/>
      <c r="AAN21" s="2"/>
      <c r="AAO21" s="2"/>
      <c r="AAP21" s="2"/>
      <c r="AAQ21" s="2"/>
      <c r="AAR21" s="2"/>
      <c r="AAS21" s="2"/>
      <c r="AAT21" s="2"/>
      <c r="AAU21" s="2"/>
      <c r="AAV21" s="2"/>
      <c r="AAW21" s="2"/>
      <c r="AAX21" s="2"/>
      <c r="AAY21" s="2"/>
      <c r="AAZ21" s="2"/>
      <c r="ABA21" s="2"/>
      <c r="ABB21" s="2"/>
      <c r="ABC21" s="2"/>
      <c r="ABD21" s="2"/>
      <c r="ABE21" s="2"/>
      <c r="ABF21" s="2"/>
      <c r="ABG21" s="2"/>
      <c r="ABH21" s="2"/>
      <c r="ABI21" s="2"/>
      <c r="ABJ21" s="2"/>
      <c r="ABK21" s="2"/>
      <c r="ABL21" s="2"/>
      <c r="ABM21" s="2"/>
      <c r="ABN21" s="2"/>
      <c r="ABO21" s="2"/>
      <c r="ABP21" s="2"/>
      <c r="ABQ21" s="2"/>
      <c r="ABR21" s="2"/>
      <c r="ABS21" s="2"/>
      <c r="ABT21" s="2"/>
      <c r="ABU21" s="2"/>
      <c r="ABV21" s="2"/>
      <c r="ABW21" s="2"/>
      <c r="ABX21" s="2"/>
      <c r="ABY21" s="2"/>
      <c r="ABZ21" s="2"/>
      <c r="ACA21" s="2"/>
      <c r="ACB21" s="2"/>
      <c r="ACC21" s="2"/>
      <c r="ACD21" s="2"/>
      <c r="ACE21" s="2"/>
      <c r="ACF21" s="2"/>
      <c r="ACG21" s="2"/>
      <c r="ACH21" s="2"/>
      <c r="ACI21" s="2"/>
      <c r="ACJ21" s="2"/>
      <c r="ACK21" s="2"/>
      <c r="ACL21" s="2"/>
      <c r="ACM21" s="2"/>
      <c r="ACN21" s="2"/>
      <c r="ACO21" s="2"/>
      <c r="ACP21" s="2"/>
      <c r="ACQ21" s="2"/>
      <c r="ACR21" s="2"/>
      <c r="ACS21" s="2"/>
      <c r="ACT21" s="2"/>
      <c r="ACU21" s="2"/>
      <c r="ACV21" s="2"/>
      <c r="ACW21" s="2"/>
      <c r="ACX21" s="2"/>
      <c r="ACY21" s="2"/>
      <c r="ACZ21" s="2"/>
      <c r="ADA21" s="2"/>
      <c r="ADB21" s="2"/>
      <c r="ADC21" s="2"/>
      <c r="ADD21" s="2"/>
      <c r="ADE21" s="2"/>
      <c r="ADF21" s="2"/>
      <c r="ADG21" s="2"/>
      <c r="ADH21" s="2"/>
      <c r="ADI21" s="2"/>
      <c r="ADJ21" s="2"/>
      <c r="ADK21" s="2"/>
      <c r="ADL21" s="2"/>
      <c r="ADM21" s="2"/>
      <c r="ADN21" s="2"/>
      <c r="ADO21" s="2"/>
      <c r="ADP21" s="2"/>
      <c r="ADQ21" s="2"/>
      <c r="ADR21" s="2"/>
      <c r="ADS21" s="2"/>
      <c r="ADT21" s="2"/>
      <c r="ADU21" s="2"/>
      <c r="ADV21" s="2"/>
      <c r="ADW21" s="2"/>
      <c r="ADX21" s="2"/>
      <c r="ADY21" s="2"/>
      <c r="ADZ21" s="2"/>
      <c r="AEA21" s="2"/>
      <c r="AEB21" s="2"/>
      <c r="AEC21" s="2"/>
      <c r="AED21" s="2"/>
      <c r="AEE21" s="2"/>
      <c r="AEF21" s="2"/>
      <c r="AEG21" s="2"/>
      <c r="AEH21" s="2"/>
      <c r="AEI21" s="2"/>
      <c r="AEJ21" s="2"/>
      <c r="AEK21" s="2"/>
      <c r="AEL21" s="2"/>
      <c r="AEM21" s="2"/>
      <c r="AEN21" s="2"/>
      <c r="AEO21" s="2"/>
      <c r="AEP21" s="2"/>
      <c r="AEQ21" s="2"/>
      <c r="AER21" s="2"/>
      <c r="AES21" s="2"/>
      <c r="AET21" s="2"/>
      <c r="AEU21" s="2"/>
      <c r="AEV21" s="2"/>
      <c r="AEW21" s="2"/>
      <c r="AEX21" s="2"/>
      <c r="AEY21" s="2"/>
      <c r="AEZ21" s="2"/>
      <c r="AFA21" s="2"/>
      <c r="AFB21" s="2"/>
      <c r="AFC21" s="2"/>
      <c r="AFD21" s="2"/>
      <c r="AFE21" s="2"/>
      <c r="AFF21" s="2"/>
      <c r="AFG21" s="2"/>
      <c r="AFH21" s="2"/>
      <c r="AFI21" s="2"/>
      <c r="AFJ21" s="2"/>
      <c r="AFK21" s="2"/>
      <c r="AFL21" s="2"/>
      <c r="AFM21" s="2"/>
      <c r="AFN21" s="2"/>
      <c r="AFO21" s="2"/>
      <c r="AFP21" s="2"/>
      <c r="AFQ21" s="2"/>
      <c r="AFR21" s="2"/>
      <c r="AFS21" s="2"/>
      <c r="AFT21" s="2"/>
      <c r="AFU21" s="2"/>
      <c r="AFV21" s="2"/>
      <c r="AFW21" s="2"/>
      <c r="AFX21" s="2"/>
      <c r="AFY21" s="2"/>
      <c r="AFZ21" s="2"/>
      <c r="AGA21" s="2"/>
      <c r="AGB21" s="2"/>
      <c r="AGC21" s="2"/>
      <c r="AGD21" s="2"/>
      <c r="AGE21" s="2"/>
      <c r="AGF21" s="2"/>
      <c r="AGG21" s="2"/>
      <c r="AGH21" s="2"/>
      <c r="AGI21" s="2"/>
      <c r="AGJ21" s="2"/>
      <c r="AGK21" s="2"/>
      <c r="AGL21" s="2"/>
      <c r="AGM21" s="2"/>
      <c r="AGN21" s="2"/>
      <c r="AGO21" s="2"/>
      <c r="AGP21" s="2"/>
      <c r="AGQ21" s="2"/>
      <c r="AGR21" s="2"/>
      <c r="AGS21" s="2"/>
      <c r="AGT21" s="2"/>
      <c r="AGU21" s="2"/>
      <c r="AGV21" s="2"/>
      <c r="AGW21" s="2"/>
      <c r="AGX21" s="2"/>
      <c r="AGY21" s="2"/>
      <c r="AGZ21" s="2"/>
      <c r="AHA21" s="2"/>
      <c r="AHB21" s="2"/>
      <c r="AHC21" s="2"/>
      <c r="AHD21" s="2"/>
      <c r="AHE21" s="2"/>
      <c r="AHF21" s="2"/>
      <c r="AHG21" s="2"/>
      <c r="AHH21" s="2"/>
      <c r="AHI21" s="2"/>
      <c r="AHJ21" s="2"/>
      <c r="AHK21" s="2"/>
      <c r="AHL21" s="2"/>
      <c r="AHM21" s="2"/>
      <c r="AHN21" s="2"/>
      <c r="AHO21" s="2"/>
      <c r="AHP21" s="2"/>
      <c r="AHQ21" s="2"/>
      <c r="AHR21" s="2"/>
      <c r="AHS21" s="2"/>
      <c r="AHT21" s="2"/>
      <c r="AHU21" s="2"/>
      <c r="AHV21" s="2"/>
      <c r="AHW21" s="2"/>
      <c r="AHX21" s="2"/>
      <c r="AHY21" s="2"/>
      <c r="AHZ21" s="2"/>
      <c r="AIA21" s="2"/>
      <c r="AIB21" s="2"/>
      <c r="AIC21" s="2"/>
      <c r="AID21" s="2"/>
      <c r="AIE21" s="2"/>
      <c r="AIF21" s="2"/>
      <c r="AIG21" s="2"/>
      <c r="AIH21" s="2"/>
      <c r="AII21" s="2"/>
      <c r="AIJ21" s="2"/>
      <c r="AIK21" s="2"/>
      <c r="AIL21" s="2"/>
      <c r="AIM21" s="2"/>
      <c r="AIN21" s="2"/>
      <c r="AIO21" s="2"/>
      <c r="AIP21" s="2"/>
      <c r="AIQ21" s="2"/>
      <c r="AIR21" s="2"/>
      <c r="AIS21" s="2"/>
      <c r="AIT21" s="2"/>
      <c r="AIU21" s="2"/>
      <c r="AIV21" s="2"/>
      <c r="AIW21" s="2"/>
      <c r="AIX21" s="2"/>
      <c r="AIY21" s="2"/>
      <c r="AIZ21" s="2"/>
      <c r="AJA21" s="2"/>
      <c r="AJB21" s="2"/>
      <c r="AJC21" s="2"/>
      <c r="AJD21" s="2"/>
      <c r="AJE21" s="2"/>
      <c r="AJF21" s="2"/>
      <c r="AJG21" s="2"/>
      <c r="AJH21" s="2"/>
      <c r="AJI21" s="2"/>
      <c r="AJJ21" s="2"/>
      <c r="AJK21" s="2"/>
      <c r="AJL21" s="2"/>
      <c r="AJM21" s="2"/>
      <c r="AJN21" s="2"/>
      <c r="AJO21" s="2"/>
      <c r="AJP21" s="2"/>
      <c r="AJQ21" s="2"/>
      <c r="AJR21" s="2"/>
      <c r="AJS21" s="2"/>
      <c r="AJT21" s="2"/>
      <c r="AJU21" s="2"/>
      <c r="AJV21" s="2"/>
      <c r="AJW21" s="2"/>
      <c r="AJX21" s="2"/>
      <c r="AJY21" s="2"/>
      <c r="AJZ21" s="2"/>
      <c r="AKA21" s="2"/>
    </row>
    <row r="22" spans="1:963">
      <c r="A22" s="7">
        <v>21</v>
      </c>
      <c r="B22" s="2">
        <v>3</v>
      </c>
      <c r="C22" s="21">
        <v>11.15</v>
      </c>
      <c r="D22" s="9">
        <v>6.7</v>
      </c>
      <c r="E22" s="9">
        <v>3.48</v>
      </c>
      <c r="F22" s="9">
        <v>0.19</v>
      </c>
      <c r="G22" s="21">
        <v>529</v>
      </c>
      <c r="H22" s="9">
        <f t="shared" si="3"/>
        <v>1.9252873563218391</v>
      </c>
      <c r="I22" s="9">
        <f t="shared" si="0"/>
        <v>5.459770114942529E-2</v>
      </c>
      <c r="J22" s="9">
        <f t="shared" si="1"/>
        <v>152.01149425287358</v>
      </c>
      <c r="K22" s="9">
        <f t="shared" si="2"/>
        <v>1018.4770114942529</v>
      </c>
      <c r="L22" s="21">
        <v>15</v>
      </c>
      <c r="M22" s="21" t="s">
        <v>27</v>
      </c>
      <c r="N22" s="21">
        <v>3</v>
      </c>
      <c r="O22" s="22">
        <v>11.15</v>
      </c>
      <c r="P22" s="9">
        <v>6.7</v>
      </c>
      <c r="Q22" s="9">
        <v>3.48</v>
      </c>
      <c r="R22" s="9">
        <v>0.19</v>
      </c>
      <c r="S22" s="9">
        <v>0.78</v>
      </c>
      <c r="T22" s="9">
        <v>0</v>
      </c>
      <c r="U22" s="9">
        <v>0</v>
      </c>
      <c r="V22" s="22">
        <v>7.88</v>
      </c>
      <c r="W22" s="22">
        <v>100</v>
      </c>
      <c r="X22" s="22">
        <v>0.33</v>
      </c>
      <c r="Y22" s="22">
        <v>529</v>
      </c>
      <c r="Z22" s="22"/>
      <c r="AA22" s="18"/>
      <c r="AB22" s="22">
        <v>150.6</v>
      </c>
      <c r="AC22" s="22">
        <v>4.75</v>
      </c>
      <c r="AD22" s="22">
        <v>120.5</v>
      </c>
      <c r="AE22" s="22">
        <v>2.58</v>
      </c>
      <c r="AF22" s="22">
        <v>1.51</v>
      </c>
      <c r="AG22" s="22">
        <v>22.87</v>
      </c>
      <c r="AH22" s="22">
        <v>255.8</v>
      </c>
      <c r="AI22" s="22">
        <v>23.9</v>
      </c>
      <c r="AJ22" s="22">
        <v>53.5</v>
      </c>
      <c r="AK22" s="22">
        <v>76.2</v>
      </c>
      <c r="AL22" s="22">
        <v>28.04</v>
      </c>
      <c r="AM22" s="27">
        <v>1.0209999999999999</v>
      </c>
      <c r="AN22" s="27">
        <v>0.61699999999999999</v>
      </c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  <c r="JC22" s="2"/>
      <c r="JD22" s="2"/>
      <c r="JE22" s="2"/>
      <c r="JF22" s="2"/>
      <c r="JG22" s="2"/>
      <c r="JH22" s="2"/>
      <c r="JI22" s="2"/>
      <c r="JJ22" s="2"/>
      <c r="JK22" s="2"/>
      <c r="JL22" s="2"/>
      <c r="JM22" s="2"/>
      <c r="JN22" s="2"/>
      <c r="JO22" s="2"/>
      <c r="JP22" s="2"/>
      <c r="JQ22" s="2"/>
      <c r="JR22" s="2"/>
      <c r="JS22" s="2"/>
      <c r="JT22" s="2"/>
      <c r="JU22" s="2"/>
      <c r="JV22" s="2"/>
      <c r="JW22" s="2"/>
      <c r="JX22" s="2"/>
      <c r="JY22" s="2"/>
      <c r="JZ22" s="2"/>
      <c r="KA22" s="2"/>
      <c r="KB22" s="2"/>
      <c r="KC22" s="2"/>
      <c r="KD22" s="2"/>
      <c r="KE22" s="2"/>
      <c r="KF22" s="2"/>
      <c r="KG22" s="2"/>
      <c r="KH22" s="2"/>
      <c r="KI22" s="2"/>
      <c r="KJ22" s="2"/>
      <c r="KK22" s="2"/>
      <c r="KL22" s="2"/>
      <c r="KM22" s="2"/>
      <c r="KN22" s="2"/>
      <c r="KO22" s="2"/>
      <c r="KP22" s="2"/>
      <c r="KQ22" s="2"/>
      <c r="KR22" s="2"/>
      <c r="KS22" s="2"/>
      <c r="KT22" s="2"/>
      <c r="KU22" s="2"/>
      <c r="KV22" s="2"/>
      <c r="KW22" s="2"/>
      <c r="KX22" s="2"/>
      <c r="KY22" s="2"/>
      <c r="KZ22" s="2"/>
      <c r="LA22" s="2"/>
      <c r="LB22" s="2"/>
      <c r="LC22" s="2"/>
      <c r="LD22" s="2"/>
      <c r="LE22" s="2"/>
      <c r="LF22" s="2"/>
      <c r="LG22" s="2"/>
      <c r="LH22" s="2"/>
      <c r="LI22" s="2"/>
      <c r="LJ22" s="2"/>
      <c r="LK22" s="2"/>
      <c r="LL22" s="2"/>
      <c r="LM22" s="2"/>
      <c r="LN22" s="2"/>
      <c r="LO22" s="2"/>
      <c r="LP22" s="2"/>
      <c r="LQ22" s="2"/>
      <c r="LR22" s="2"/>
      <c r="LS22" s="2"/>
      <c r="LT22" s="2"/>
      <c r="LU22" s="2"/>
      <c r="LV22" s="2"/>
      <c r="LW22" s="2"/>
      <c r="LX22" s="2"/>
      <c r="LY22" s="2"/>
      <c r="LZ22" s="2"/>
      <c r="MA22" s="2"/>
      <c r="MB22" s="2"/>
      <c r="MC22" s="2"/>
      <c r="MD22" s="2"/>
      <c r="ME22" s="2"/>
      <c r="MF22" s="2"/>
      <c r="MG22" s="2"/>
      <c r="MH22" s="2"/>
      <c r="MI22" s="2"/>
      <c r="MJ22" s="2"/>
      <c r="MK22" s="2"/>
      <c r="ML22" s="2"/>
      <c r="MM22" s="2"/>
      <c r="MN22" s="2"/>
      <c r="MO22" s="2"/>
      <c r="MP22" s="2"/>
      <c r="MQ22" s="2"/>
      <c r="MR22" s="2"/>
      <c r="MS22" s="2"/>
      <c r="MT22" s="2"/>
      <c r="MU22" s="2"/>
      <c r="MV22" s="2"/>
      <c r="MW22" s="2"/>
      <c r="MX22" s="2"/>
      <c r="MY22" s="2"/>
      <c r="MZ22" s="2"/>
      <c r="NA22" s="2"/>
      <c r="NB22" s="2"/>
      <c r="NC22" s="2"/>
      <c r="ND22" s="2"/>
      <c r="NE22" s="2"/>
      <c r="NF22" s="2"/>
      <c r="NG22" s="2"/>
      <c r="NH22" s="2"/>
      <c r="NI22" s="2"/>
      <c r="NJ22" s="2"/>
      <c r="NK22" s="2"/>
      <c r="NL22" s="2"/>
      <c r="NM22" s="2"/>
      <c r="NN22" s="2"/>
      <c r="NO22" s="2"/>
      <c r="NP22" s="2"/>
      <c r="NQ22" s="2"/>
      <c r="NR22" s="2"/>
      <c r="NS22" s="2"/>
      <c r="NT22" s="2"/>
      <c r="NU22" s="2"/>
      <c r="NV22" s="2"/>
      <c r="NW22" s="2"/>
      <c r="NX22" s="2"/>
      <c r="NY22" s="2"/>
      <c r="NZ22" s="2"/>
      <c r="OA22" s="2"/>
      <c r="OB22" s="2"/>
      <c r="OC22" s="2"/>
      <c r="OD22" s="2"/>
      <c r="OE22" s="2"/>
      <c r="OF22" s="2"/>
      <c r="OG22" s="2"/>
      <c r="OH22" s="2"/>
      <c r="OI22" s="2"/>
      <c r="OJ22" s="2"/>
      <c r="OK22" s="2"/>
      <c r="OL22" s="2"/>
      <c r="OM22" s="2"/>
      <c r="ON22" s="2"/>
      <c r="OO22" s="2"/>
      <c r="OP22" s="2"/>
      <c r="OQ22" s="2"/>
      <c r="OR22" s="2"/>
      <c r="OS22" s="2"/>
      <c r="OT22" s="2"/>
      <c r="OU22" s="2"/>
      <c r="OV22" s="2"/>
      <c r="OW22" s="2"/>
      <c r="OX22" s="2"/>
      <c r="OY22" s="2"/>
      <c r="OZ22" s="2"/>
      <c r="PA22" s="2"/>
      <c r="PB22" s="2"/>
      <c r="PC22" s="2"/>
      <c r="PD22" s="2"/>
      <c r="PE22" s="2"/>
      <c r="PF22" s="2"/>
      <c r="PG22" s="2"/>
      <c r="PH22" s="2"/>
      <c r="PI22" s="2"/>
      <c r="PJ22" s="2"/>
      <c r="PK22" s="2"/>
      <c r="PL22" s="2"/>
      <c r="PM22" s="2"/>
      <c r="PN22" s="2"/>
      <c r="PO22" s="2"/>
      <c r="PP22" s="2"/>
      <c r="PQ22" s="2"/>
      <c r="PR22" s="2"/>
      <c r="PS22" s="2"/>
      <c r="PT22" s="2"/>
      <c r="PU22" s="2"/>
      <c r="PV22" s="2"/>
      <c r="PW22" s="2"/>
      <c r="PX22" s="2"/>
      <c r="PY22" s="2"/>
      <c r="PZ22" s="2"/>
      <c r="QA22" s="2"/>
      <c r="QB22" s="2"/>
      <c r="QC22" s="2"/>
      <c r="QD22" s="2"/>
      <c r="QE22" s="2"/>
      <c r="QF22" s="2"/>
      <c r="QG22" s="2"/>
      <c r="QH22" s="2"/>
      <c r="QI22" s="2"/>
      <c r="QJ22" s="2"/>
      <c r="QK22" s="2"/>
      <c r="QL22" s="2"/>
      <c r="QM22" s="2"/>
      <c r="QN22" s="2"/>
      <c r="QO22" s="2"/>
      <c r="QP22" s="2"/>
      <c r="QQ22" s="2"/>
      <c r="QR22" s="2"/>
      <c r="QS22" s="2"/>
      <c r="QT22" s="2"/>
      <c r="QU22" s="2"/>
      <c r="QV22" s="2"/>
      <c r="QW22" s="2"/>
      <c r="QX22" s="2"/>
      <c r="QY22" s="2"/>
      <c r="QZ22" s="2"/>
      <c r="RA22" s="2"/>
      <c r="RB22" s="2"/>
      <c r="RC22" s="2"/>
      <c r="RD22" s="2"/>
      <c r="RE22" s="2"/>
      <c r="RF22" s="2"/>
      <c r="RG22" s="2"/>
      <c r="RH22" s="2"/>
      <c r="RI22" s="2"/>
      <c r="RJ22" s="2"/>
      <c r="RK22" s="2"/>
      <c r="RL22" s="2"/>
      <c r="RM22" s="2"/>
      <c r="RN22" s="2"/>
      <c r="RO22" s="2"/>
      <c r="RP22" s="2"/>
      <c r="RQ22" s="2"/>
      <c r="RR22" s="2"/>
      <c r="RS22" s="2"/>
      <c r="RT22" s="2"/>
      <c r="RU22" s="2"/>
      <c r="RV22" s="2"/>
      <c r="RW22" s="2"/>
      <c r="RX22" s="2"/>
      <c r="RY22" s="2"/>
      <c r="RZ22" s="2"/>
      <c r="SA22" s="2"/>
      <c r="SB22" s="2"/>
      <c r="SC22" s="2"/>
      <c r="SD22" s="2"/>
      <c r="SE22" s="2"/>
      <c r="SF22" s="2"/>
      <c r="SG22" s="2"/>
      <c r="SH22" s="2"/>
      <c r="SI22" s="2"/>
      <c r="SJ22" s="2"/>
      <c r="SK22" s="2"/>
      <c r="SL22" s="2"/>
      <c r="SM22" s="2"/>
      <c r="SN22" s="2"/>
      <c r="SO22" s="2"/>
      <c r="SP22" s="2"/>
      <c r="SQ22" s="2"/>
      <c r="SR22" s="2"/>
      <c r="SS22" s="2"/>
      <c r="ST22" s="2"/>
      <c r="SU22" s="2"/>
      <c r="SV22" s="2"/>
      <c r="SW22" s="2"/>
      <c r="SX22" s="2"/>
      <c r="SY22" s="2"/>
      <c r="SZ22" s="2"/>
      <c r="TA22" s="2"/>
      <c r="TB22" s="2"/>
      <c r="TC22" s="2"/>
      <c r="TD22" s="2"/>
      <c r="TE22" s="2"/>
      <c r="TF22" s="2"/>
      <c r="TG22" s="2"/>
      <c r="TH22" s="2"/>
      <c r="TI22" s="2"/>
      <c r="TJ22" s="2"/>
      <c r="TK22" s="2"/>
      <c r="TL22" s="2"/>
      <c r="TM22" s="2"/>
      <c r="TN22" s="2"/>
      <c r="TO22" s="2"/>
      <c r="TP22" s="2"/>
      <c r="TQ22" s="2"/>
      <c r="TR22" s="2"/>
      <c r="TS22" s="2"/>
      <c r="TT22" s="2"/>
      <c r="TU22" s="2"/>
      <c r="TV22" s="2"/>
      <c r="TW22" s="2"/>
      <c r="TX22" s="2"/>
      <c r="TY22" s="2"/>
      <c r="TZ22" s="2"/>
      <c r="UA22" s="2"/>
      <c r="UB22" s="2"/>
      <c r="UC22" s="2"/>
      <c r="UD22" s="2"/>
      <c r="UE22" s="2"/>
      <c r="UF22" s="2"/>
      <c r="UG22" s="2"/>
      <c r="UH22" s="2"/>
      <c r="UI22" s="2"/>
      <c r="UJ22" s="2"/>
      <c r="UK22" s="2"/>
      <c r="UL22" s="2"/>
      <c r="UM22" s="2"/>
      <c r="UN22" s="2"/>
      <c r="UO22" s="2"/>
      <c r="UP22" s="2"/>
      <c r="UQ22" s="2"/>
      <c r="UR22" s="2"/>
      <c r="US22" s="2"/>
      <c r="UT22" s="2"/>
      <c r="UU22" s="2"/>
      <c r="UV22" s="2"/>
      <c r="UW22" s="2"/>
      <c r="UX22" s="2"/>
      <c r="UY22" s="2"/>
      <c r="UZ22" s="2"/>
      <c r="VA22" s="2"/>
      <c r="VB22" s="2"/>
      <c r="VC22" s="2"/>
      <c r="VD22" s="2"/>
      <c r="VE22" s="2"/>
      <c r="VF22" s="2"/>
      <c r="VG22" s="2"/>
      <c r="VH22" s="2"/>
      <c r="VI22" s="2"/>
      <c r="VJ22" s="2"/>
      <c r="VK22" s="2"/>
      <c r="VL22" s="2"/>
      <c r="VM22" s="2"/>
      <c r="VN22" s="2"/>
      <c r="VO22" s="2"/>
      <c r="VP22" s="2"/>
      <c r="VQ22" s="2"/>
      <c r="VR22" s="2"/>
      <c r="VS22" s="2"/>
      <c r="VT22" s="2"/>
      <c r="VU22" s="2"/>
      <c r="VV22" s="2"/>
      <c r="VW22" s="2"/>
      <c r="VX22" s="2"/>
      <c r="VY22" s="2"/>
      <c r="VZ22" s="2"/>
      <c r="WA22" s="2"/>
      <c r="WB22" s="2"/>
      <c r="WC22" s="2"/>
      <c r="WD22" s="2"/>
      <c r="WE22" s="2"/>
      <c r="WF22" s="2"/>
      <c r="WG22" s="2"/>
      <c r="WH22" s="2"/>
      <c r="WI22" s="2"/>
      <c r="WJ22" s="2"/>
      <c r="WK22" s="2"/>
      <c r="WL22" s="2"/>
      <c r="WM22" s="2"/>
      <c r="WN22" s="2"/>
      <c r="WO22" s="2"/>
      <c r="WP22" s="2"/>
      <c r="WQ22" s="2"/>
      <c r="WR22" s="2"/>
      <c r="WS22" s="2"/>
      <c r="WT22" s="2"/>
      <c r="WU22" s="2"/>
      <c r="WV22" s="2"/>
      <c r="WW22" s="2"/>
      <c r="WX22" s="2"/>
      <c r="WY22" s="2"/>
      <c r="WZ22" s="2"/>
      <c r="XA22" s="2"/>
      <c r="XB22" s="2"/>
      <c r="XC22" s="2"/>
      <c r="XD22" s="2"/>
      <c r="XE22" s="2"/>
      <c r="XF22" s="2"/>
      <c r="XG22" s="2"/>
      <c r="XH22" s="2"/>
      <c r="XI22" s="2"/>
      <c r="XJ22" s="2"/>
      <c r="XK22" s="2"/>
      <c r="XL22" s="2"/>
      <c r="XM22" s="2"/>
      <c r="XN22" s="2"/>
      <c r="XO22" s="2"/>
      <c r="XP22" s="2"/>
      <c r="XQ22" s="2"/>
      <c r="XR22" s="2"/>
      <c r="XS22" s="2"/>
      <c r="XT22" s="2"/>
      <c r="XU22" s="2"/>
      <c r="XV22" s="2"/>
      <c r="XW22" s="2"/>
      <c r="XX22" s="2"/>
      <c r="XY22" s="2"/>
      <c r="XZ22" s="2"/>
      <c r="YA22" s="2"/>
      <c r="YB22" s="2"/>
      <c r="YC22" s="2"/>
      <c r="YD22" s="2"/>
      <c r="YE22" s="2"/>
      <c r="YF22" s="2"/>
      <c r="YG22" s="2"/>
      <c r="YH22" s="2"/>
      <c r="YI22" s="2"/>
      <c r="YJ22" s="2"/>
      <c r="YK22" s="2"/>
      <c r="YL22" s="2"/>
      <c r="YM22" s="2"/>
      <c r="YN22" s="2"/>
      <c r="YO22" s="2"/>
      <c r="YP22" s="2"/>
      <c r="YQ22" s="2"/>
      <c r="YR22" s="2"/>
      <c r="YS22" s="2"/>
      <c r="YT22" s="2"/>
      <c r="YU22" s="2"/>
      <c r="YV22" s="2"/>
      <c r="YW22" s="2"/>
      <c r="YX22" s="2"/>
      <c r="YY22" s="2"/>
      <c r="YZ22" s="2"/>
      <c r="ZA22" s="2"/>
      <c r="ZB22" s="2"/>
      <c r="ZC22" s="2"/>
      <c r="ZD22" s="2"/>
      <c r="ZE22" s="2"/>
      <c r="ZF22" s="2"/>
      <c r="ZG22" s="2"/>
      <c r="ZH22" s="2"/>
      <c r="ZI22" s="2"/>
      <c r="ZJ22" s="2"/>
      <c r="ZK22" s="2"/>
      <c r="ZL22" s="2"/>
      <c r="ZM22" s="2"/>
      <c r="ZN22" s="2"/>
      <c r="ZO22" s="2"/>
      <c r="ZP22" s="2"/>
      <c r="ZQ22" s="2"/>
      <c r="ZR22" s="2"/>
      <c r="ZS22" s="2"/>
      <c r="ZT22" s="2"/>
      <c r="ZU22" s="2"/>
      <c r="ZV22" s="2"/>
      <c r="ZW22" s="2"/>
      <c r="ZX22" s="2"/>
      <c r="ZY22" s="2"/>
      <c r="ZZ22" s="2"/>
      <c r="AAA22" s="2"/>
      <c r="AAB22" s="2"/>
      <c r="AAC22" s="2"/>
      <c r="AAD22" s="2"/>
      <c r="AAE22" s="2"/>
      <c r="AAF22" s="2"/>
      <c r="AAG22" s="2"/>
      <c r="AAH22" s="2"/>
      <c r="AAI22" s="2"/>
      <c r="AAJ22" s="2"/>
      <c r="AAK22" s="2"/>
      <c r="AAL22" s="2"/>
      <c r="AAM22" s="2"/>
      <c r="AAN22" s="2"/>
      <c r="AAO22" s="2"/>
      <c r="AAP22" s="2"/>
      <c r="AAQ22" s="2"/>
      <c r="AAR22" s="2"/>
      <c r="AAS22" s="2"/>
      <c r="AAT22" s="2"/>
      <c r="AAU22" s="2"/>
      <c r="AAV22" s="2"/>
      <c r="AAW22" s="2"/>
      <c r="AAX22" s="2"/>
      <c r="AAY22" s="2"/>
      <c r="AAZ22" s="2"/>
      <c r="ABA22" s="2"/>
      <c r="ABB22" s="2"/>
      <c r="ABC22" s="2"/>
      <c r="ABD22" s="2"/>
      <c r="ABE22" s="2"/>
      <c r="ABF22" s="2"/>
      <c r="ABG22" s="2"/>
      <c r="ABH22" s="2"/>
      <c r="ABI22" s="2"/>
      <c r="ABJ22" s="2"/>
      <c r="ABK22" s="2"/>
      <c r="ABL22" s="2"/>
      <c r="ABM22" s="2"/>
      <c r="ABN22" s="2"/>
      <c r="ABO22" s="2"/>
      <c r="ABP22" s="2"/>
      <c r="ABQ22" s="2"/>
      <c r="ABR22" s="2"/>
      <c r="ABS22" s="2"/>
      <c r="ABT22" s="2"/>
      <c r="ABU22" s="2"/>
      <c r="ABV22" s="2"/>
      <c r="ABW22" s="2"/>
      <c r="ABX22" s="2"/>
      <c r="ABY22" s="2"/>
      <c r="ABZ22" s="2"/>
      <c r="ACA22" s="2"/>
      <c r="ACB22" s="2"/>
      <c r="ACC22" s="2"/>
      <c r="ACD22" s="2"/>
      <c r="ACE22" s="2"/>
      <c r="ACF22" s="2"/>
      <c r="ACG22" s="2"/>
      <c r="ACH22" s="2"/>
      <c r="ACI22" s="2"/>
      <c r="ACJ22" s="2"/>
      <c r="ACK22" s="2"/>
      <c r="ACL22" s="2"/>
      <c r="ACM22" s="2"/>
      <c r="ACN22" s="2"/>
      <c r="ACO22" s="2"/>
      <c r="ACP22" s="2"/>
      <c r="ACQ22" s="2"/>
      <c r="ACR22" s="2"/>
      <c r="ACS22" s="2"/>
      <c r="ACT22" s="2"/>
      <c r="ACU22" s="2"/>
      <c r="ACV22" s="2"/>
      <c r="ACW22" s="2"/>
      <c r="ACX22" s="2"/>
      <c r="ACY22" s="2"/>
      <c r="ACZ22" s="2"/>
      <c r="ADA22" s="2"/>
      <c r="ADB22" s="2"/>
      <c r="ADC22" s="2"/>
      <c r="ADD22" s="2"/>
      <c r="ADE22" s="2"/>
      <c r="ADF22" s="2"/>
      <c r="ADG22" s="2"/>
      <c r="ADH22" s="2"/>
      <c r="ADI22" s="2"/>
      <c r="ADJ22" s="2"/>
      <c r="ADK22" s="2"/>
      <c r="ADL22" s="2"/>
      <c r="ADM22" s="2"/>
      <c r="ADN22" s="2"/>
      <c r="ADO22" s="2"/>
      <c r="ADP22" s="2"/>
      <c r="ADQ22" s="2"/>
      <c r="ADR22" s="2"/>
      <c r="ADS22" s="2"/>
      <c r="ADT22" s="2"/>
      <c r="ADU22" s="2"/>
      <c r="ADV22" s="2"/>
      <c r="ADW22" s="2"/>
      <c r="ADX22" s="2"/>
      <c r="ADY22" s="2"/>
      <c r="ADZ22" s="2"/>
      <c r="AEA22" s="2"/>
      <c r="AEB22" s="2"/>
      <c r="AEC22" s="2"/>
      <c r="AED22" s="2"/>
      <c r="AEE22" s="2"/>
      <c r="AEF22" s="2"/>
      <c r="AEG22" s="2"/>
      <c r="AEH22" s="2"/>
      <c r="AEI22" s="2"/>
      <c r="AEJ22" s="2"/>
      <c r="AEK22" s="2"/>
      <c r="AEL22" s="2"/>
      <c r="AEM22" s="2"/>
      <c r="AEN22" s="2"/>
      <c r="AEO22" s="2"/>
      <c r="AEP22" s="2"/>
      <c r="AEQ22" s="2"/>
      <c r="AER22" s="2"/>
      <c r="AES22" s="2"/>
      <c r="AET22" s="2"/>
      <c r="AEU22" s="2"/>
      <c r="AEV22" s="2"/>
      <c r="AEW22" s="2"/>
      <c r="AEX22" s="2"/>
      <c r="AEY22" s="2"/>
      <c r="AEZ22" s="2"/>
      <c r="AFA22" s="2"/>
      <c r="AFB22" s="2"/>
      <c r="AFC22" s="2"/>
      <c r="AFD22" s="2"/>
      <c r="AFE22" s="2"/>
      <c r="AFF22" s="2"/>
      <c r="AFG22" s="2"/>
      <c r="AFH22" s="2"/>
      <c r="AFI22" s="2"/>
      <c r="AFJ22" s="2"/>
      <c r="AFK22" s="2"/>
      <c r="AFL22" s="2"/>
      <c r="AFM22" s="2"/>
      <c r="AFN22" s="2"/>
      <c r="AFO22" s="2"/>
      <c r="AFP22" s="2"/>
      <c r="AFQ22" s="2"/>
      <c r="AFR22" s="2"/>
      <c r="AFS22" s="2"/>
      <c r="AFT22" s="2"/>
      <c r="AFU22" s="2"/>
      <c r="AFV22" s="2"/>
      <c r="AFW22" s="2"/>
      <c r="AFX22" s="2"/>
      <c r="AFY22" s="2"/>
      <c r="AFZ22" s="2"/>
      <c r="AGA22" s="2"/>
      <c r="AGB22" s="2"/>
      <c r="AGC22" s="2"/>
      <c r="AGD22" s="2"/>
      <c r="AGE22" s="2"/>
      <c r="AGF22" s="2"/>
      <c r="AGG22" s="2"/>
      <c r="AGH22" s="2"/>
      <c r="AGI22" s="2"/>
      <c r="AGJ22" s="2"/>
      <c r="AGK22" s="2"/>
      <c r="AGL22" s="2"/>
      <c r="AGM22" s="2"/>
      <c r="AGN22" s="2"/>
      <c r="AGO22" s="2"/>
      <c r="AGP22" s="2"/>
      <c r="AGQ22" s="2"/>
      <c r="AGR22" s="2"/>
      <c r="AGS22" s="2"/>
      <c r="AGT22" s="2"/>
      <c r="AGU22" s="2"/>
      <c r="AGV22" s="2"/>
      <c r="AGW22" s="2"/>
      <c r="AGX22" s="2"/>
      <c r="AGY22" s="2"/>
      <c r="AGZ22" s="2"/>
      <c r="AHA22" s="2"/>
      <c r="AHB22" s="2"/>
      <c r="AHC22" s="2"/>
      <c r="AHD22" s="2"/>
      <c r="AHE22" s="2"/>
      <c r="AHF22" s="2"/>
      <c r="AHG22" s="2"/>
      <c r="AHH22" s="2"/>
      <c r="AHI22" s="2"/>
      <c r="AHJ22" s="2"/>
      <c r="AHK22" s="2"/>
      <c r="AHL22" s="2"/>
      <c r="AHM22" s="2"/>
      <c r="AHN22" s="2"/>
      <c r="AHO22" s="2"/>
      <c r="AHP22" s="2"/>
      <c r="AHQ22" s="2"/>
      <c r="AHR22" s="2"/>
      <c r="AHS22" s="2"/>
      <c r="AHT22" s="2"/>
      <c r="AHU22" s="2"/>
      <c r="AHV22" s="2"/>
      <c r="AHW22" s="2"/>
      <c r="AHX22" s="2"/>
      <c r="AHY22" s="2"/>
      <c r="AHZ22" s="2"/>
      <c r="AIA22" s="2"/>
      <c r="AIB22" s="2"/>
      <c r="AIC22" s="2"/>
      <c r="AID22" s="2"/>
      <c r="AIE22" s="2"/>
      <c r="AIF22" s="2"/>
      <c r="AIG22" s="2"/>
      <c r="AIH22" s="2"/>
      <c r="AII22" s="2"/>
      <c r="AIJ22" s="2"/>
      <c r="AIK22" s="2"/>
      <c r="AIL22" s="2"/>
      <c r="AIM22" s="2"/>
      <c r="AIN22" s="2"/>
      <c r="AIO22" s="2"/>
      <c r="AIP22" s="2"/>
      <c r="AIQ22" s="2"/>
      <c r="AIR22" s="2"/>
      <c r="AIS22" s="2"/>
      <c r="AIT22" s="2"/>
      <c r="AIU22" s="2"/>
      <c r="AIV22" s="2"/>
      <c r="AIW22" s="2"/>
      <c r="AIX22" s="2"/>
      <c r="AIY22" s="2"/>
      <c r="AIZ22" s="2"/>
      <c r="AJA22" s="2"/>
      <c r="AJB22" s="2"/>
      <c r="AJC22" s="2"/>
      <c r="AJD22" s="2"/>
      <c r="AJE22" s="2"/>
      <c r="AJF22" s="2"/>
      <c r="AJG22" s="2"/>
      <c r="AJH22" s="2"/>
      <c r="AJI22" s="2"/>
      <c r="AJJ22" s="2"/>
      <c r="AJK22" s="2"/>
      <c r="AJL22" s="2"/>
      <c r="AJM22" s="2"/>
      <c r="AJN22" s="2"/>
      <c r="AJO22" s="2"/>
      <c r="AJP22" s="2"/>
      <c r="AJQ22" s="2"/>
      <c r="AJR22" s="2"/>
      <c r="AJS22" s="2"/>
      <c r="AJT22" s="2"/>
      <c r="AJU22" s="2"/>
      <c r="AJV22" s="2"/>
      <c r="AJW22" s="2"/>
      <c r="AJX22" s="2"/>
      <c r="AJY22" s="2"/>
      <c r="AJZ22" s="2"/>
      <c r="AKA22" s="2"/>
    </row>
    <row r="23" spans="1:963">
      <c r="A23" s="16">
        <v>22</v>
      </c>
      <c r="B23" s="2">
        <v>3</v>
      </c>
      <c r="C23" s="16">
        <v>31.24</v>
      </c>
      <c r="D23" s="9">
        <v>28.38</v>
      </c>
      <c r="E23" s="9">
        <v>0.86</v>
      </c>
      <c r="F23" s="9">
        <v>1</v>
      </c>
      <c r="G23" s="16">
        <v>300</v>
      </c>
      <c r="H23" s="9">
        <f t="shared" si="3"/>
        <v>33</v>
      </c>
      <c r="I23" s="9">
        <f t="shared" si="0"/>
        <v>1.1627906976744187</v>
      </c>
      <c r="J23" s="9">
        <f t="shared" si="1"/>
        <v>348.83720930232556</v>
      </c>
      <c r="K23" s="9">
        <f t="shared" si="2"/>
        <v>9900</v>
      </c>
      <c r="L23" s="16">
        <v>10</v>
      </c>
      <c r="M23" s="16" t="s">
        <v>27</v>
      </c>
      <c r="N23" s="16">
        <v>2.2799999999999998</v>
      </c>
      <c r="O23" s="18">
        <v>31.24</v>
      </c>
      <c r="P23" s="9">
        <v>28.38</v>
      </c>
      <c r="Q23" s="9">
        <v>0.86</v>
      </c>
      <c r="R23" s="9">
        <v>1</v>
      </c>
      <c r="S23" s="9">
        <v>0.99</v>
      </c>
      <c r="T23" s="9">
        <v>0</v>
      </c>
      <c r="U23" s="9">
        <v>0.02</v>
      </c>
      <c r="V23" s="18">
        <v>8.48</v>
      </c>
      <c r="W23" s="18">
        <v>116</v>
      </c>
      <c r="X23" s="18">
        <v>0.37</v>
      </c>
      <c r="Y23" s="18">
        <v>300</v>
      </c>
      <c r="Z23" s="18">
        <v>0.3</v>
      </c>
      <c r="AA23" s="18"/>
      <c r="AB23" s="18"/>
      <c r="AC23" s="18"/>
      <c r="AD23" s="18"/>
      <c r="AE23" s="18">
        <v>2.4700000000000002</v>
      </c>
      <c r="AF23" s="18">
        <v>3.94</v>
      </c>
      <c r="AG23" s="18">
        <v>48.54</v>
      </c>
      <c r="AH23" s="18">
        <v>438.55</v>
      </c>
      <c r="AI23" s="18">
        <v>25.1</v>
      </c>
      <c r="AJ23" s="18">
        <v>82.6</v>
      </c>
      <c r="AK23" s="18">
        <v>69.2</v>
      </c>
      <c r="AL23" s="18">
        <v>32.1</v>
      </c>
      <c r="AM23" s="26">
        <v>1.018</v>
      </c>
      <c r="AN23" s="26">
        <v>1.1100000000000001</v>
      </c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  <c r="KK23" s="2"/>
      <c r="KL23" s="2"/>
      <c r="KM23" s="2"/>
      <c r="KN23" s="2"/>
      <c r="KO23" s="2"/>
      <c r="KP23" s="2"/>
      <c r="KQ23" s="2"/>
      <c r="KR23" s="2"/>
      <c r="KS23" s="2"/>
      <c r="KT23" s="2"/>
      <c r="KU23" s="2"/>
      <c r="KV23" s="2"/>
      <c r="KW23" s="2"/>
      <c r="KX23" s="2"/>
      <c r="KY23" s="2"/>
      <c r="KZ23" s="2"/>
      <c r="LA23" s="2"/>
      <c r="LB23" s="2"/>
      <c r="LC23" s="2"/>
      <c r="LD23" s="2"/>
      <c r="LE23" s="2"/>
      <c r="LF23" s="2"/>
      <c r="LG23" s="2"/>
      <c r="LH23" s="2"/>
      <c r="LI23" s="2"/>
      <c r="LJ23" s="2"/>
      <c r="LK23" s="2"/>
      <c r="LL23" s="2"/>
      <c r="LM23" s="2"/>
      <c r="LN23" s="2"/>
      <c r="LO23" s="2"/>
      <c r="LP23" s="2"/>
      <c r="LQ23" s="2"/>
      <c r="LR23" s="2"/>
      <c r="LS23" s="2"/>
      <c r="LT23" s="2"/>
      <c r="LU23" s="2"/>
      <c r="LV23" s="2"/>
      <c r="LW23" s="2"/>
      <c r="LX23" s="2"/>
      <c r="LY23" s="2"/>
      <c r="LZ23" s="2"/>
      <c r="MA23" s="2"/>
      <c r="MB23" s="2"/>
      <c r="MC23" s="2"/>
      <c r="MD23" s="2"/>
      <c r="ME23" s="2"/>
      <c r="MF23" s="2"/>
      <c r="MG23" s="2"/>
      <c r="MH23" s="2"/>
      <c r="MI23" s="2"/>
      <c r="MJ23" s="2"/>
      <c r="MK23" s="2"/>
      <c r="ML23" s="2"/>
      <c r="MM23" s="2"/>
      <c r="MN23" s="2"/>
      <c r="MO23" s="2"/>
      <c r="MP23" s="2"/>
      <c r="MQ23" s="2"/>
      <c r="MR23" s="2"/>
      <c r="MS23" s="2"/>
      <c r="MT23" s="2"/>
      <c r="MU23" s="2"/>
      <c r="MV23" s="2"/>
      <c r="MW23" s="2"/>
      <c r="MX23" s="2"/>
      <c r="MY23" s="2"/>
      <c r="MZ23" s="2"/>
      <c r="NA23" s="2"/>
      <c r="NB23" s="2"/>
      <c r="NC23" s="2"/>
      <c r="ND23" s="2"/>
      <c r="NE23" s="2"/>
      <c r="NF23" s="2"/>
      <c r="NG23" s="2"/>
      <c r="NH23" s="2"/>
      <c r="NI23" s="2"/>
      <c r="NJ23" s="2"/>
      <c r="NK23" s="2"/>
      <c r="NL23" s="2"/>
      <c r="NM23" s="2"/>
      <c r="NN23" s="2"/>
      <c r="NO23" s="2"/>
      <c r="NP23" s="2"/>
      <c r="NQ23" s="2"/>
      <c r="NR23" s="2"/>
      <c r="NS23" s="2"/>
      <c r="NT23" s="2"/>
      <c r="NU23" s="2"/>
      <c r="NV23" s="2"/>
      <c r="NW23" s="2"/>
      <c r="NX23" s="2"/>
      <c r="NY23" s="2"/>
      <c r="NZ23" s="2"/>
      <c r="OA23" s="2"/>
      <c r="OB23" s="2"/>
      <c r="OC23" s="2"/>
      <c r="OD23" s="2"/>
      <c r="OE23" s="2"/>
      <c r="OF23" s="2"/>
      <c r="OG23" s="2"/>
      <c r="OH23" s="2"/>
      <c r="OI23" s="2"/>
      <c r="OJ23" s="2"/>
      <c r="OK23" s="2"/>
      <c r="OL23" s="2"/>
      <c r="OM23" s="2"/>
      <c r="ON23" s="2"/>
      <c r="OO23" s="2"/>
      <c r="OP23" s="2"/>
      <c r="OQ23" s="2"/>
      <c r="OR23" s="2"/>
      <c r="OS23" s="2"/>
      <c r="OT23" s="2"/>
      <c r="OU23" s="2"/>
      <c r="OV23" s="2"/>
      <c r="OW23" s="2"/>
      <c r="OX23" s="2"/>
      <c r="OY23" s="2"/>
      <c r="OZ23" s="2"/>
      <c r="PA23" s="2"/>
      <c r="PB23" s="2"/>
      <c r="PC23" s="2"/>
      <c r="PD23" s="2"/>
      <c r="PE23" s="2"/>
      <c r="PF23" s="2"/>
      <c r="PG23" s="2"/>
      <c r="PH23" s="2"/>
      <c r="PI23" s="2"/>
      <c r="PJ23" s="2"/>
      <c r="PK23" s="2"/>
      <c r="PL23" s="2"/>
      <c r="PM23" s="2"/>
      <c r="PN23" s="2"/>
      <c r="PO23" s="2"/>
      <c r="PP23" s="2"/>
      <c r="PQ23" s="2"/>
      <c r="PR23" s="2"/>
      <c r="PS23" s="2"/>
      <c r="PT23" s="2"/>
      <c r="PU23" s="2"/>
      <c r="PV23" s="2"/>
      <c r="PW23" s="2"/>
      <c r="PX23" s="2"/>
      <c r="PY23" s="2"/>
      <c r="PZ23" s="2"/>
      <c r="QA23" s="2"/>
      <c r="QB23" s="2"/>
      <c r="QC23" s="2"/>
      <c r="QD23" s="2"/>
      <c r="QE23" s="2"/>
      <c r="QF23" s="2"/>
      <c r="QG23" s="2"/>
      <c r="QH23" s="2"/>
      <c r="QI23" s="2"/>
      <c r="QJ23" s="2"/>
      <c r="QK23" s="2"/>
      <c r="QL23" s="2"/>
      <c r="QM23" s="2"/>
      <c r="QN23" s="2"/>
      <c r="QO23" s="2"/>
      <c r="QP23" s="2"/>
      <c r="QQ23" s="2"/>
      <c r="QR23" s="2"/>
      <c r="QS23" s="2"/>
      <c r="QT23" s="2"/>
      <c r="QU23" s="2"/>
      <c r="QV23" s="2"/>
      <c r="QW23" s="2"/>
      <c r="QX23" s="2"/>
      <c r="QY23" s="2"/>
      <c r="QZ23" s="2"/>
      <c r="RA23" s="2"/>
      <c r="RB23" s="2"/>
      <c r="RC23" s="2"/>
      <c r="RD23" s="2"/>
      <c r="RE23" s="2"/>
      <c r="RF23" s="2"/>
      <c r="RG23" s="2"/>
      <c r="RH23" s="2"/>
      <c r="RI23" s="2"/>
      <c r="RJ23" s="2"/>
      <c r="RK23" s="2"/>
      <c r="RL23" s="2"/>
      <c r="RM23" s="2"/>
      <c r="RN23" s="2"/>
      <c r="RO23" s="2"/>
      <c r="RP23" s="2"/>
      <c r="RQ23" s="2"/>
      <c r="RR23" s="2"/>
      <c r="RS23" s="2"/>
      <c r="RT23" s="2"/>
      <c r="RU23" s="2"/>
      <c r="RV23" s="2"/>
      <c r="RW23" s="2"/>
      <c r="RX23" s="2"/>
      <c r="RY23" s="2"/>
      <c r="RZ23" s="2"/>
      <c r="SA23" s="2"/>
      <c r="SB23" s="2"/>
      <c r="SC23" s="2"/>
      <c r="SD23" s="2"/>
      <c r="SE23" s="2"/>
      <c r="SF23" s="2"/>
      <c r="SG23" s="2"/>
      <c r="SH23" s="2"/>
      <c r="SI23" s="2"/>
      <c r="SJ23" s="2"/>
      <c r="SK23" s="2"/>
      <c r="SL23" s="2"/>
      <c r="SM23" s="2"/>
      <c r="SN23" s="2"/>
      <c r="SO23" s="2"/>
      <c r="SP23" s="2"/>
      <c r="SQ23" s="2"/>
      <c r="SR23" s="2"/>
      <c r="SS23" s="2"/>
      <c r="ST23" s="2"/>
      <c r="SU23" s="2"/>
      <c r="SV23" s="2"/>
      <c r="SW23" s="2"/>
      <c r="SX23" s="2"/>
      <c r="SY23" s="2"/>
      <c r="SZ23" s="2"/>
      <c r="TA23" s="2"/>
      <c r="TB23" s="2"/>
      <c r="TC23" s="2"/>
      <c r="TD23" s="2"/>
      <c r="TE23" s="2"/>
      <c r="TF23" s="2"/>
      <c r="TG23" s="2"/>
      <c r="TH23" s="2"/>
      <c r="TI23" s="2"/>
      <c r="TJ23" s="2"/>
      <c r="TK23" s="2"/>
      <c r="TL23" s="2"/>
      <c r="TM23" s="2"/>
      <c r="TN23" s="2"/>
      <c r="TO23" s="2"/>
      <c r="TP23" s="2"/>
      <c r="TQ23" s="2"/>
      <c r="TR23" s="2"/>
      <c r="TS23" s="2"/>
      <c r="TT23" s="2"/>
      <c r="TU23" s="2"/>
      <c r="TV23" s="2"/>
      <c r="TW23" s="2"/>
      <c r="TX23" s="2"/>
      <c r="TY23" s="2"/>
      <c r="TZ23" s="2"/>
      <c r="UA23" s="2"/>
      <c r="UB23" s="2"/>
      <c r="UC23" s="2"/>
      <c r="UD23" s="2"/>
      <c r="UE23" s="2"/>
      <c r="UF23" s="2"/>
      <c r="UG23" s="2"/>
      <c r="UH23" s="2"/>
      <c r="UI23" s="2"/>
      <c r="UJ23" s="2"/>
      <c r="UK23" s="2"/>
      <c r="UL23" s="2"/>
      <c r="UM23" s="2"/>
      <c r="UN23" s="2"/>
      <c r="UO23" s="2"/>
      <c r="UP23" s="2"/>
      <c r="UQ23" s="2"/>
      <c r="UR23" s="2"/>
      <c r="US23" s="2"/>
      <c r="UT23" s="2"/>
      <c r="UU23" s="2"/>
      <c r="UV23" s="2"/>
      <c r="UW23" s="2"/>
      <c r="UX23" s="2"/>
      <c r="UY23" s="2"/>
      <c r="UZ23" s="2"/>
      <c r="VA23" s="2"/>
      <c r="VB23" s="2"/>
      <c r="VC23" s="2"/>
      <c r="VD23" s="2"/>
      <c r="VE23" s="2"/>
      <c r="VF23" s="2"/>
      <c r="VG23" s="2"/>
      <c r="VH23" s="2"/>
      <c r="VI23" s="2"/>
      <c r="VJ23" s="2"/>
      <c r="VK23" s="2"/>
      <c r="VL23" s="2"/>
      <c r="VM23" s="2"/>
      <c r="VN23" s="2"/>
      <c r="VO23" s="2"/>
      <c r="VP23" s="2"/>
      <c r="VQ23" s="2"/>
      <c r="VR23" s="2"/>
      <c r="VS23" s="2"/>
      <c r="VT23" s="2"/>
      <c r="VU23" s="2"/>
      <c r="VV23" s="2"/>
      <c r="VW23" s="2"/>
      <c r="VX23" s="2"/>
      <c r="VY23" s="2"/>
      <c r="VZ23" s="2"/>
      <c r="WA23" s="2"/>
      <c r="WB23" s="2"/>
      <c r="WC23" s="2"/>
      <c r="WD23" s="2"/>
      <c r="WE23" s="2"/>
      <c r="WF23" s="2"/>
      <c r="WG23" s="2"/>
      <c r="WH23" s="2"/>
      <c r="WI23" s="2"/>
      <c r="WJ23" s="2"/>
      <c r="WK23" s="2"/>
      <c r="WL23" s="2"/>
      <c r="WM23" s="2"/>
      <c r="WN23" s="2"/>
      <c r="WO23" s="2"/>
      <c r="WP23" s="2"/>
      <c r="WQ23" s="2"/>
      <c r="WR23" s="2"/>
      <c r="WS23" s="2"/>
      <c r="WT23" s="2"/>
      <c r="WU23" s="2"/>
      <c r="WV23" s="2"/>
      <c r="WW23" s="2"/>
      <c r="WX23" s="2"/>
      <c r="WY23" s="2"/>
      <c r="WZ23" s="2"/>
      <c r="XA23" s="2"/>
      <c r="XB23" s="2"/>
      <c r="XC23" s="2"/>
      <c r="XD23" s="2"/>
      <c r="XE23" s="2"/>
      <c r="XF23" s="2"/>
      <c r="XG23" s="2"/>
      <c r="XH23" s="2"/>
      <c r="XI23" s="2"/>
      <c r="XJ23" s="2"/>
      <c r="XK23" s="2"/>
      <c r="XL23" s="2"/>
      <c r="XM23" s="2"/>
      <c r="XN23" s="2"/>
      <c r="XO23" s="2"/>
      <c r="XP23" s="2"/>
      <c r="XQ23" s="2"/>
      <c r="XR23" s="2"/>
      <c r="XS23" s="2"/>
      <c r="XT23" s="2"/>
      <c r="XU23" s="2"/>
      <c r="XV23" s="2"/>
      <c r="XW23" s="2"/>
      <c r="XX23" s="2"/>
      <c r="XY23" s="2"/>
      <c r="XZ23" s="2"/>
      <c r="YA23" s="2"/>
      <c r="YB23" s="2"/>
      <c r="YC23" s="2"/>
      <c r="YD23" s="2"/>
      <c r="YE23" s="2"/>
      <c r="YF23" s="2"/>
      <c r="YG23" s="2"/>
      <c r="YH23" s="2"/>
      <c r="YI23" s="2"/>
      <c r="YJ23" s="2"/>
      <c r="YK23" s="2"/>
      <c r="YL23" s="2"/>
      <c r="YM23" s="2"/>
      <c r="YN23" s="2"/>
      <c r="YO23" s="2"/>
      <c r="YP23" s="2"/>
      <c r="YQ23" s="2"/>
      <c r="YR23" s="2"/>
      <c r="YS23" s="2"/>
      <c r="YT23" s="2"/>
      <c r="YU23" s="2"/>
      <c r="YV23" s="2"/>
      <c r="YW23" s="2"/>
      <c r="YX23" s="2"/>
      <c r="YY23" s="2"/>
      <c r="YZ23" s="2"/>
      <c r="ZA23" s="2"/>
      <c r="ZB23" s="2"/>
      <c r="ZC23" s="2"/>
      <c r="ZD23" s="2"/>
      <c r="ZE23" s="2"/>
      <c r="ZF23" s="2"/>
      <c r="ZG23" s="2"/>
      <c r="ZH23" s="2"/>
      <c r="ZI23" s="2"/>
      <c r="ZJ23" s="2"/>
      <c r="ZK23" s="2"/>
      <c r="ZL23" s="2"/>
      <c r="ZM23" s="2"/>
      <c r="ZN23" s="2"/>
      <c r="ZO23" s="2"/>
      <c r="ZP23" s="2"/>
      <c r="ZQ23" s="2"/>
      <c r="ZR23" s="2"/>
      <c r="ZS23" s="2"/>
      <c r="ZT23" s="2"/>
      <c r="ZU23" s="2"/>
      <c r="ZV23" s="2"/>
      <c r="ZW23" s="2"/>
      <c r="ZX23" s="2"/>
      <c r="ZY23" s="2"/>
      <c r="ZZ23" s="2"/>
      <c r="AAA23" s="2"/>
      <c r="AAB23" s="2"/>
      <c r="AAC23" s="2"/>
      <c r="AAD23" s="2"/>
      <c r="AAE23" s="2"/>
      <c r="AAF23" s="2"/>
      <c r="AAG23" s="2"/>
      <c r="AAH23" s="2"/>
      <c r="AAI23" s="2"/>
      <c r="AAJ23" s="2"/>
      <c r="AAK23" s="2"/>
      <c r="AAL23" s="2"/>
      <c r="AAM23" s="2"/>
      <c r="AAN23" s="2"/>
      <c r="AAO23" s="2"/>
      <c r="AAP23" s="2"/>
      <c r="AAQ23" s="2"/>
      <c r="AAR23" s="2"/>
      <c r="AAS23" s="2"/>
      <c r="AAT23" s="2"/>
      <c r="AAU23" s="2"/>
      <c r="AAV23" s="2"/>
      <c r="AAW23" s="2"/>
      <c r="AAX23" s="2"/>
      <c r="AAY23" s="2"/>
      <c r="AAZ23" s="2"/>
      <c r="ABA23" s="2"/>
      <c r="ABB23" s="2"/>
      <c r="ABC23" s="2"/>
      <c r="ABD23" s="2"/>
      <c r="ABE23" s="2"/>
      <c r="ABF23" s="2"/>
      <c r="ABG23" s="2"/>
      <c r="ABH23" s="2"/>
      <c r="ABI23" s="2"/>
      <c r="ABJ23" s="2"/>
      <c r="ABK23" s="2"/>
      <c r="ABL23" s="2"/>
      <c r="ABM23" s="2"/>
      <c r="ABN23" s="2"/>
      <c r="ABO23" s="2"/>
      <c r="ABP23" s="2"/>
      <c r="ABQ23" s="2"/>
      <c r="ABR23" s="2"/>
      <c r="ABS23" s="2"/>
      <c r="ABT23" s="2"/>
      <c r="ABU23" s="2"/>
      <c r="ABV23" s="2"/>
      <c r="ABW23" s="2"/>
      <c r="ABX23" s="2"/>
      <c r="ABY23" s="2"/>
      <c r="ABZ23" s="2"/>
      <c r="ACA23" s="2"/>
      <c r="ACB23" s="2"/>
      <c r="ACC23" s="2"/>
      <c r="ACD23" s="2"/>
      <c r="ACE23" s="2"/>
      <c r="ACF23" s="2"/>
      <c r="ACG23" s="2"/>
      <c r="ACH23" s="2"/>
      <c r="ACI23" s="2"/>
      <c r="ACJ23" s="2"/>
      <c r="ACK23" s="2"/>
      <c r="ACL23" s="2"/>
      <c r="ACM23" s="2"/>
      <c r="ACN23" s="2"/>
      <c r="ACO23" s="2"/>
      <c r="ACP23" s="2"/>
      <c r="ACQ23" s="2"/>
      <c r="ACR23" s="2"/>
      <c r="ACS23" s="2"/>
      <c r="ACT23" s="2"/>
      <c r="ACU23" s="2"/>
      <c r="ACV23" s="2"/>
      <c r="ACW23" s="2"/>
      <c r="ACX23" s="2"/>
      <c r="ACY23" s="2"/>
      <c r="ACZ23" s="2"/>
      <c r="ADA23" s="2"/>
      <c r="ADB23" s="2"/>
      <c r="ADC23" s="2"/>
      <c r="ADD23" s="2"/>
      <c r="ADE23" s="2"/>
      <c r="ADF23" s="2"/>
      <c r="ADG23" s="2"/>
      <c r="ADH23" s="2"/>
      <c r="ADI23" s="2"/>
      <c r="ADJ23" s="2"/>
      <c r="ADK23" s="2"/>
      <c r="ADL23" s="2"/>
      <c r="ADM23" s="2"/>
      <c r="ADN23" s="2"/>
      <c r="ADO23" s="2"/>
      <c r="ADP23" s="2"/>
      <c r="ADQ23" s="2"/>
      <c r="ADR23" s="2"/>
      <c r="ADS23" s="2"/>
      <c r="ADT23" s="2"/>
      <c r="ADU23" s="2"/>
      <c r="ADV23" s="2"/>
      <c r="ADW23" s="2"/>
      <c r="ADX23" s="2"/>
      <c r="ADY23" s="2"/>
      <c r="ADZ23" s="2"/>
      <c r="AEA23" s="2"/>
      <c r="AEB23" s="2"/>
      <c r="AEC23" s="2"/>
      <c r="AED23" s="2"/>
      <c r="AEE23" s="2"/>
      <c r="AEF23" s="2"/>
      <c r="AEG23" s="2"/>
      <c r="AEH23" s="2"/>
      <c r="AEI23" s="2"/>
      <c r="AEJ23" s="2"/>
      <c r="AEK23" s="2"/>
      <c r="AEL23" s="2"/>
      <c r="AEM23" s="2"/>
      <c r="AEN23" s="2"/>
      <c r="AEO23" s="2"/>
      <c r="AEP23" s="2"/>
      <c r="AEQ23" s="2"/>
      <c r="AER23" s="2"/>
      <c r="AES23" s="2"/>
      <c r="AET23" s="2"/>
      <c r="AEU23" s="2"/>
      <c r="AEV23" s="2"/>
      <c r="AEW23" s="2"/>
      <c r="AEX23" s="2"/>
      <c r="AEY23" s="2"/>
      <c r="AEZ23" s="2"/>
      <c r="AFA23" s="2"/>
      <c r="AFB23" s="2"/>
      <c r="AFC23" s="2"/>
      <c r="AFD23" s="2"/>
      <c r="AFE23" s="2"/>
      <c r="AFF23" s="2"/>
      <c r="AFG23" s="2"/>
      <c r="AFH23" s="2"/>
      <c r="AFI23" s="2"/>
      <c r="AFJ23" s="2"/>
      <c r="AFK23" s="2"/>
      <c r="AFL23" s="2"/>
      <c r="AFM23" s="2"/>
      <c r="AFN23" s="2"/>
      <c r="AFO23" s="2"/>
      <c r="AFP23" s="2"/>
      <c r="AFQ23" s="2"/>
      <c r="AFR23" s="2"/>
      <c r="AFS23" s="2"/>
      <c r="AFT23" s="2"/>
      <c r="AFU23" s="2"/>
      <c r="AFV23" s="2"/>
      <c r="AFW23" s="2"/>
      <c r="AFX23" s="2"/>
      <c r="AFY23" s="2"/>
      <c r="AFZ23" s="2"/>
      <c r="AGA23" s="2"/>
      <c r="AGB23" s="2"/>
      <c r="AGC23" s="2"/>
      <c r="AGD23" s="2"/>
      <c r="AGE23" s="2"/>
      <c r="AGF23" s="2"/>
      <c r="AGG23" s="2"/>
      <c r="AGH23" s="2"/>
      <c r="AGI23" s="2"/>
      <c r="AGJ23" s="2"/>
      <c r="AGK23" s="2"/>
      <c r="AGL23" s="2"/>
      <c r="AGM23" s="2"/>
      <c r="AGN23" s="2"/>
      <c r="AGO23" s="2"/>
      <c r="AGP23" s="2"/>
      <c r="AGQ23" s="2"/>
      <c r="AGR23" s="2"/>
      <c r="AGS23" s="2"/>
      <c r="AGT23" s="2"/>
      <c r="AGU23" s="2"/>
      <c r="AGV23" s="2"/>
      <c r="AGW23" s="2"/>
      <c r="AGX23" s="2"/>
      <c r="AGY23" s="2"/>
      <c r="AGZ23" s="2"/>
      <c r="AHA23" s="2"/>
      <c r="AHB23" s="2"/>
      <c r="AHC23" s="2"/>
      <c r="AHD23" s="2"/>
      <c r="AHE23" s="2"/>
      <c r="AHF23" s="2"/>
      <c r="AHG23" s="2"/>
      <c r="AHH23" s="2"/>
      <c r="AHI23" s="2"/>
      <c r="AHJ23" s="2"/>
      <c r="AHK23" s="2"/>
      <c r="AHL23" s="2"/>
      <c r="AHM23" s="2"/>
      <c r="AHN23" s="2"/>
      <c r="AHO23" s="2"/>
      <c r="AHP23" s="2"/>
      <c r="AHQ23" s="2"/>
      <c r="AHR23" s="2"/>
      <c r="AHS23" s="2"/>
      <c r="AHT23" s="2"/>
      <c r="AHU23" s="2"/>
      <c r="AHV23" s="2"/>
      <c r="AHW23" s="2"/>
      <c r="AHX23" s="2"/>
      <c r="AHY23" s="2"/>
      <c r="AHZ23" s="2"/>
      <c r="AIA23" s="2"/>
      <c r="AIB23" s="2"/>
      <c r="AIC23" s="2"/>
      <c r="AID23" s="2"/>
      <c r="AIE23" s="2"/>
      <c r="AIF23" s="2"/>
      <c r="AIG23" s="2"/>
      <c r="AIH23" s="2"/>
      <c r="AII23" s="2"/>
      <c r="AIJ23" s="2"/>
      <c r="AIK23" s="2"/>
      <c r="AIL23" s="2"/>
      <c r="AIM23" s="2"/>
      <c r="AIN23" s="2"/>
      <c r="AIO23" s="2"/>
      <c r="AIP23" s="2"/>
      <c r="AIQ23" s="2"/>
      <c r="AIR23" s="2"/>
      <c r="AIS23" s="2"/>
      <c r="AIT23" s="2"/>
      <c r="AIU23" s="2"/>
      <c r="AIV23" s="2"/>
      <c r="AIW23" s="2"/>
      <c r="AIX23" s="2"/>
      <c r="AIY23" s="2"/>
      <c r="AIZ23" s="2"/>
      <c r="AJA23" s="2"/>
      <c r="AJB23" s="2"/>
      <c r="AJC23" s="2"/>
      <c r="AJD23" s="2"/>
      <c r="AJE23" s="2"/>
      <c r="AJF23" s="2"/>
      <c r="AJG23" s="2"/>
      <c r="AJH23" s="2"/>
      <c r="AJI23" s="2"/>
      <c r="AJJ23" s="2"/>
      <c r="AJK23" s="2"/>
      <c r="AJL23" s="2"/>
      <c r="AJM23" s="2"/>
      <c r="AJN23" s="2"/>
      <c r="AJO23" s="2"/>
      <c r="AJP23" s="2"/>
      <c r="AJQ23" s="2"/>
      <c r="AJR23" s="2"/>
      <c r="AJS23" s="2"/>
      <c r="AJT23" s="2"/>
      <c r="AJU23" s="2"/>
      <c r="AJV23" s="2"/>
      <c r="AJW23" s="2"/>
      <c r="AJX23" s="2"/>
      <c r="AJY23" s="2"/>
      <c r="AJZ23" s="2"/>
      <c r="AKA23" s="2"/>
    </row>
    <row r="24" spans="1:963">
      <c r="A24" s="7">
        <v>23</v>
      </c>
      <c r="B24" s="2">
        <v>3</v>
      </c>
      <c r="C24" s="16">
        <v>14.88</v>
      </c>
      <c r="D24" s="9">
        <v>11.26</v>
      </c>
      <c r="E24" s="9">
        <v>2.36</v>
      </c>
      <c r="F24" s="9">
        <v>0.52</v>
      </c>
      <c r="G24" s="16">
        <v>100</v>
      </c>
      <c r="H24" s="9">
        <f t="shared" si="3"/>
        <v>4.7711864406779663</v>
      </c>
      <c r="I24" s="9">
        <f t="shared" si="0"/>
        <v>0.22033898305084748</v>
      </c>
      <c r="J24" s="9">
        <f t="shared" si="1"/>
        <v>42.372881355932208</v>
      </c>
      <c r="K24" s="9">
        <f t="shared" si="2"/>
        <v>477.11864406779665</v>
      </c>
      <c r="L24" s="16">
        <v>20</v>
      </c>
      <c r="M24" s="16" t="s">
        <v>31</v>
      </c>
      <c r="N24" s="16">
        <v>2.86</v>
      </c>
      <c r="O24" s="18">
        <v>14.88</v>
      </c>
      <c r="P24" s="9">
        <v>11.26</v>
      </c>
      <c r="Q24" s="9">
        <v>2.36</v>
      </c>
      <c r="R24" s="9">
        <v>0.52</v>
      </c>
      <c r="S24" s="9">
        <v>0.72</v>
      </c>
      <c r="T24" s="9">
        <v>0</v>
      </c>
      <c r="U24" s="9">
        <v>0.02</v>
      </c>
      <c r="V24" s="18">
        <v>6.72</v>
      </c>
      <c r="W24" s="18">
        <v>100</v>
      </c>
      <c r="X24" s="18">
        <v>0.34</v>
      </c>
      <c r="Y24" s="18">
        <v>100</v>
      </c>
      <c r="Z24" s="18">
        <v>0.1</v>
      </c>
      <c r="AA24" s="18"/>
      <c r="AB24" s="18">
        <v>171.2</v>
      </c>
      <c r="AC24" s="18">
        <v>4.5999999999999996</v>
      </c>
      <c r="AD24" s="18">
        <v>130.69999999999999</v>
      </c>
      <c r="AE24" s="18">
        <v>2.84</v>
      </c>
      <c r="AF24" s="18">
        <v>2.11</v>
      </c>
      <c r="AG24" s="18">
        <v>30</v>
      </c>
      <c r="AH24" s="18">
        <v>261</v>
      </c>
      <c r="AI24" s="18">
        <v>52.9</v>
      </c>
      <c r="AJ24" s="18">
        <v>244.1</v>
      </c>
      <c r="AK24" s="18">
        <v>86.7</v>
      </c>
      <c r="AL24" s="18">
        <v>31.5</v>
      </c>
      <c r="AM24" s="26">
        <v>1.0249999999999999</v>
      </c>
      <c r="AN24" s="26">
        <v>1.1819999999999999</v>
      </c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  <c r="JC24" s="2"/>
      <c r="JD24" s="2"/>
      <c r="JE24" s="2"/>
      <c r="JF24" s="2"/>
      <c r="JG24" s="2"/>
      <c r="JH24" s="2"/>
      <c r="JI24" s="2"/>
      <c r="JJ24" s="2"/>
      <c r="JK24" s="2"/>
      <c r="JL24" s="2"/>
      <c r="JM24" s="2"/>
      <c r="JN24" s="2"/>
      <c r="JO24" s="2"/>
      <c r="JP24" s="2"/>
      <c r="JQ24" s="2"/>
      <c r="JR24" s="2"/>
      <c r="JS24" s="2"/>
      <c r="JT24" s="2"/>
      <c r="JU24" s="2"/>
      <c r="JV24" s="2"/>
      <c r="JW24" s="2"/>
      <c r="JX24" s="2"/>
      <c r="JY24" s="2"/>
      <c r="JZ24" s="2"/>
      <c r="KA24" s="2"/>
      <c r="KB24" s="2"/>
      <c r="KC24" s="2"/>
      <c r="KD24" s="2"/>
      <c r="KE24" s="2"/>
      <c r="KF24" s="2"/>
      <c r="KG24" s="2"/>
      <c r="KH24" s="2"/>
      <c r="KI24" s="2"/>
      <c r="KJ24" s="2"/>
      <c r="KK24" s="2"/>
      <c r="KL24" s="2"/>
      <c r="KM24" s="2"/>
      <c r="KN24" s="2"/>
      <c r="KO24" s="2"/>
      <c r="KP24" s="2"/>
      <c r="KQ24" s="2"/>
      <c r="KR24" s="2"/>
      <c r="KS24" s="2"/>
      <c r="KT24" s="2"/>
      <c r="KU24" s="2"/>
      <c r="KV24" s="2"/>
      <c r="KW24" s="2"/>
      <c r="KX24" s="2"/>
      <c r="KY24" s="2"/>
      <c r="KZ24" s="2"/>
      <c r="LA24" s="2"/>
      <c r="LB24" s="2"/>
      <c r="LC24" s="2"/>
      <c r="LD24" s="2"/>
      <c r="LE24" s="2"/>
      <c r="LF24" s="2"/>
      <c r="LG24" s="2"/>
      <c r="LH24" s="2"/>
      <c r="LI24" s="2"/>
      <c r="LJ24" s="2"/>
      <c r="LK24" s="2"/>
      <c r="LL24" s="2"/>
      <c r="LM24" s="2"/>
      <c r="LN24" s="2"/>
      <c r="LO24" s="2"/>
      <c r="LP24" s="2"/>
      <c r="LQ24" s="2"/>
      <c r="LR24" s="2"/>
      <c r="LS24" s="2"/>
      <c r="LT24" s="2"/>
      <c r="LU24" s="2"/>
      <c r="LV24" s="2"/>
      <c r="LW24" s="2"/>
      <c r="LX24" s="2"/>
      <c r="LY24" s="2"/>
      <c r="LZ24" s="2"/>
      <c r="MA24" s="2"/>
      <c r="MB24" s="2"/>
      <c r="MC24" s="2"/>
      <c r="MD24" s="2"/>
      <c r="ME24" s="2"/>
      <c r="MF24" s="2"/>
      <c r="MG24" s="2"/>
      <c r="MH24" s="2"/>
      <c r="MI24" s="2"/>
      <c r="MJ24" s="2"/>
      <c r="MK24" s="2"/>
      <c r="ML24" s="2"/>
      <c r="MM24" s="2"/>
      <c r="MN24" s="2"/>
      <c r="MO24" s="2"/>
      <c r="MP24" s="2"/>
      <c r="MQ24" s="2"/>
      <c r="MR24" s="2"/>
      <c r="MS24" s="2"/>
      <c r="MT24" s="2"/>
      <c r="MU24" s="2"/>
      <c r="MV24" s="2"/>
      <c r="MW24" s="2"/>
      <c r="MX24" s="2"/>
      <c r="MY24" s="2"/>
      <c r="MZ24" s="2"/>
      <c r="NA24" s="2"/>
      <c r="NB24" s="2"/>
      <c r="NC24" s="2"/>
      <c r="ND24" s="2"/>
      <c r="NE24" s="2"/>
      <c r="NF24" s="2"/>
      <c r="NG24" s="2"/>
      <c r="NH24" s="2"/>
      <c r="NI24" s="2"/>
      <c r="NJ24" s="2"/>
      <c r="NK24" s="2"/>
      <c r="NL24" s="2"/>
      <c r="NM24" s="2"/>
      <c r="NN24" s="2"/>
      <c r="NO24" s="2"/>
      <c r="NP24" s="2"/>
      <c r="NQ24" s="2"/>
      <c r="NR24" s="2"/>
      <c r="NS24" s="2"/>
      <c r="NT24" s="2"/>
      <c r="NU24" s="2"/>
      <c r="NV24" s="2"/>
      <c r="NW24" s="2"/>
      <c r="NX24" s="2"/>
      <c r="NY24" s="2"/>
      <c r="NZ24" s="2"/>
      <c r="OA24" s="2"/>
      <c r="OB24" s="2"/>
      <c r="OC24" s="2"/>
      <c r="OD24" s="2"/>
      <c r="OE24" s="2"/>
      <c r="OF24" s="2"/>
      <c r="OG24" s="2"/>
      <c r="OH24" s="2"/>
      <c r="OI24" s="2"/>
      <c r="OJ24" s="2"/>
      <c r="OK24" s="2"/>
      <c r="OL24" s="2"/>
      <c r="OM24" s="2"/>
      <c r="ON24" s="2"/>
      <c r="OO24" s="2"/>
      <c r="OP24" s="2"/>
      <c r="OQ24" s="2"/>
      <c r="OR24" s="2"/>
      <c r="OS24" s="2"/>
      <c r="OT24" s="2"/>
      <c r="OU24" s="2"/>
      <c r="OV24" s="2"/>
      <c r="OW24" s="2"/>
      <c r="OX24" s="2"/>
      <c r="OY24" s="2"/>
      <c r="OZ24" s="2"/>
      <c r="PA24" s="2"/>
      <c r="PB24" s="2"/>
      <c r="PC24" s="2"/>
      <c r="PD24" s="2"/>
      <c r="PE24" s="2"/>
      <c r="PF24" s="2"/>
      <c r="PG24" s="2"/>
      <c r="PH24" s="2"/>
      <c r="PI24" s="2"/>
      <c r="PJ24" s="2"/>
      <c r="PK24" s="2"/>
      <c r="PL24" s="2"/>
      <c r="PM24" s="2"/>
      <c r="PN24" s="2"/>
      <c r="PO24" s="2"/>
      <c r="PP24" s="2"/>
      <c r="PQ24" s="2"/>
      <c r="PR24" s="2"/>
      <c r="PS24" s="2"/>
      <c r="PT24" s="2"/>
      <c r="PU24" s="2"/>
      <c r="PV24" s="2"/>
      <c r="PW24" s="2"/>
      <c r="PX24" s="2"/>
      <c r="PY24" s="2"/>
      <c r="PZ24" s="2"/>
      <c r="QA24" s="2"/>
      <c r="QB24" s="2"/>
      <c r="QC24" s="2"/>
      <c r="QD24" s="2"/>
      <c r="QE24" s="2"/>
      <c r="QF24" s="2"/>
      <c r="QG24" s="2"/>
      <c r="QH24" s="2"/>
      <c r="QI24" s="2"/>
      <c r="QJ24" s="2"/>
      <c r="QK24" s="2"/>
      <c r="QL24" s="2"/>
      <c r="QM24" s="2"/>
      <c r="QN24" s="2"/>
      <c r="QO24" s="2"/>
      <c r="QP24" s="2"/>
      <c r="QQ24" s="2"/>
      <c r="QR24" s="2"/>
      <c r="QS24" s="2"/>
      <c r="QT24" s="2"/>
      <c r="QU24" s="2"/>
      <c r="QV24" s="2"/>
      <c r="QW24" s="2"/>
      <c r="QX24" s="2"/>
      <c r="QY24" s="2"/>
      <c r="QZ24" s="2"/>
      <c r="RA24" s="2"/>
      <c r="RB24" s="2"/>
      <c r="RC24" s="2"/>
      <c r="RD24" s="2"/>
      <c r="RE24" s="2"/>
      <c r="RF24" s="2"/>
      <c r="RG24" s="2"/>
      <c r="RH24" s="2"/>
      <c r="RI24" s="2"/>
      <c r="RJ24" s="2"/>
      <c r="RK24" s="2"/>
      <c r="RL24" s="2"/>
      <c r="RM24" s="2"/>
      <c r="RN24" s="2"/>
      <c r="RO24" s="2"/>
      <c r="RP24" s="2"/>
      <c r="RQ24" s="2"/>
      <c r="RR24" s="2"/>
      <c r="RS24" s="2"/>
      <c r="RT24" s="2"/>
      <c r="RU24" s="2"/>
      <c r="RV24" s="2"/>
      <c r="RW24" s="2"/>
      <c r="RX24" s="2"/>
      <c r="RY24" s="2"/>
      <c r="RZ24" s="2"/>
      <c r="SA24" s="2"/>
      <c r="SB24" s="2"/>
      <c r="SC24" s="2"/>
      <c r="SD24" s="2"/>
      <c r="SE24" s="2"/>
      <c r="SF24" s="2"/>
      <c r="SG24" s="2"/>
      <c r="SH24" s="2"/>
      <c r="SI24" s="2"/>
      <c r="SJ24" s="2"/>
      <c r="SK24" s="2"/>
      <c r="SL24" s="2"/>
      <c r="SM24" s="2"/>
      <c r="SN24" s="2"/>
      <c r="SO24" s="2"/>
      <c r="SP24" s="2"/>
      <c r="SQ24" s="2"/>
      <c r="SR24" s="2"/>
      <c r="SS24" s="2"/>
      <c r="ST24" s="2"/>
      <c r="SU24" s="2"/>
      <c r="SV24" s="2"/>
      <c r="SW24" s="2"/>
      <c r="SX24" s="2"/>
      <c r="SY24" s="2"/>
      <c r="SZ24" s="2"/>
      <c r="TA24" s="2"/>
      <c r="TB24" s="2"/>
      <c r="TC24" s="2"/>
      <c r="TD24" s="2"/>
      <c r="TE24" s="2"/>
      <c r="TF24" s="2"/>
      <c r="TG24" s="2"/>
      <c r="TH24" s="2"/>
      <c r="TI24" s="2"/>
      <c r="TJ24" s="2"/>
      <c r="TK24" s="2"/>
      <c r="TL24" s="2"/>
      <c r="TM24" s="2"/>
      <c r="TN24" s="2"/>
      <c r="TO24" s="2"/>
      <c r="TP24" s="2"/>
      <c r="TQ24" s="2"/>
      <c r="TR24" s="2"/>
      <c r="TS24" s="2"/>
      <c r="TT24" s="2"/>
      <c r="TU24" s="2"/>
      <c r="TV24" s="2"/>
      <c r="TW24" s="2"/>
      <c r="TX24" s="2"/>
      <c r="TY24" s="2"/>
      <c r="TZ24" s="2"/>
      <c r="UA24" s="2"/>
      <c r="UB24" s="2"/>
      <c r="UC24" s="2"/>
      <c r="UD24" s="2"/>
      <c r="UE24" s="2"/>
      <c r="UF24" s="2"/>
      <c r="UG24" s="2"/>
      <c r="UH24" s="2"/>
      <c r="UI24" s="2"/>
      <c r="UJ24" s="2"/>
      <c r="UK24" s="2"/>
      <c r="UL24" s="2"/>
      <c r="UM24" s="2"/>
      <c r="UN24" s="2"/>
      <c r="UO24" s="2"/>
      <c r="UP24" s="2"/>
      <c r="UQ24" s="2"/>
      <c r="UR24" s="2"/>
      <c r="US24" s="2"/>
      <c r="UT24" s="2"/>
      <c r="UU24" s="2"/>
      <c r="UV24" s="2"/>
      <c r="UW24" s="2"/>
      <c r="UX24" s="2"/>
      <c r="UY24" s="2"/>
      <c r="UZ24" s="2"/>
      <c r="VA24" s="2"/>
      <c r="VB24" s="2"/>
      <c r="VC24" s="2"/>
      <c r="VD24" s="2"/>
      <c r="VE24" s="2"/>
      <c r="VF24" s="2"/>
      <c r="VG24" s="2"/>
      <c r="VH24" s="2"/>
      <c r="VI24" s="2"/>
      <c r="VJ24" s="2"/>
      <c r="VK24" s="2"/>
      <c r="VL24" s="2"/>
      <c r="VM24" s="2"/>
      <c r="VN24" s="2"/>
      <c r="VO24" s="2"/>
      <c r="VP24" s="2"/>
      <c r="VQ24" s="2"/>
      <c r="VR24" s="2"/>
      <c r="VS24" s="2"/>
      <c r="VT24" s="2"/>
      <c r="VU24" s="2"/>
      <c r="VV24" s="2"/>
      <c r="VW24" s="2"/>
      <c r="VX24" s="2"/>
      <c r="VY24" s="2"/>
      <c r="VZ24" s="2"/>
      <c r="WA24" s="2"/>
      <c r="WB24" s="2"/>
      <c r="WC24" s="2"/>
      <c r="WD24" s="2"/>
      <c r="WE24" s="2"/>
      <c r="WF24" s="2"/>
      <c r="WG24" s="2"/>
      <c r="WH24" s="2"/>
      <c r="WI24" s="2"/>
      <c r="WJ24" s="2"/>
      <c r="WK24" s="2"/>
      <c r="WL24" s="2"/>
      <c r="WM24" s="2"/>
      <c r="WN24" s="2"/>
      <c r="WO24" s="2"/>
      <c r="WP24" s="2"/>
      <c r="WQ24" s="2"/>
      <c r="WR24" s="2"/>
      <c r="WS24" s="2"/>
      <c r="WT24" s="2"/>
      <c r="WU24" s="2"/>
      <c r="WV24" s="2"/>
      <c r="WW24" s="2"/>
      <c r="WX24" s="2"/>
      <c r="WY24" s="2"/>
      <c r="WZ24" s="2"/>
      <c r="XA24" s="2"/>
      <c r="XB24" s="2"/>
      <c r="XC24" s="2"/>
      <c r="XD24" s="2"/>
      <c r="XE24" s="2"/>
      <c r="XF24" s="2"/>
      <c r="XG24" s="2"/>
      <c r="XH24" s="2"/>
      <c r="XI24" s="2"/>
      <c r="XJ24" s="2"/>
      <c r="XK24" s="2"/>
      <c r="XL24" s="2"/>
      <c r="XM24" s="2"/>
      <c r="XN24" s="2"/>
      <c r="XO24" s="2"/>
      <c r="XP24" s="2"/>
      <c r="XQ24" s="2"/>
      <c r="XR24" s="2"/>
      <c r="XS24" s="2"/>
      <c r="XT24" s="2"/>
      <c r="XU24" s="2"/>
      <c r="XV24" s="2"/>
      <c r="XW24" s="2"/>
      <c r="XX24" s="2"/>
      <c r="XY24" s="2"/>
      <c r="XZ24" s="2"/>
      <c r="YA24" s="2"/>
      <c r="YB24" s="2"/>
      <c r="YC24" s="2"/>
      <c r="YD24" s="2"/>
      <c r="YE24" s="2"/>
      <c r="YF24" s="2"/>
      <c r="YG24" s="2"/>
      <c r="YH24" s="2"/>
      <c r="YI24" s="2"/>
      <c r="YJ24" s="2"/>
      <c r="YK24" s="2"/>
      <c r="YL24" s="2"/>
      <c r="YM24" s="2"/>
      <c r="YN24" s="2"/>
      <c r="YO24" s="2"/>
      <c r="YP24" s="2"/>
      <c r="YQ24" s="2"/>
      <c r="YR24" s="2"/>
      <c r="YS24" s="2"/>
      <c r="YT24" s="2"/>
      <c r="YU24" s="2"/>
      <c r="YV24" s="2"/>
      <c r="YW24" s="2"/>
      <c r="YX24" s="2"/>
      <c r="YY24" s="2"/>
      <c r="YZ24" s="2"/>
      <c r="ZA24" s="2"/>
      <c r="ZB24" s="2"/>
      <c r="ZC24" s="2"/>
      <c r="ZD24" s="2"/>
      <c r="ZE24" s="2"/>
      <c r="ZF24" s="2"/>
      <c r="ZG24" s="2"/>
      <c r="ZH24" s="2"/>
      <c r="ZI24" s="2"/>
      <c r="ZJ24" s="2"/>
      <c r="ZK24" s="2"/>
      <c r="ZL24" s="2"/>
      <c r="ZM24" s="2"/>
      <c r="ZN24" s="2"/>
      <c r="ZO24" s="2"/>
      <c r="ZP24" s="2"/>
      <c r="ZQ24" s="2"/>
      <c r="ZR24" s="2"/>
      <c r="ZS24" s="2"/>
      <c r="ZT24" s="2"/>
      <c r="ZU24" s="2"/>
      <c r="ZV24" s="2"/>
      <c r="ZW24" s="2"/>
      <c r="ZX24" s="2"/>
      <c r="ZY24" s="2"/>
      <c r="ZZ24" s="2"/>
      <c r="AAA24" s="2"/>
      <c r="AAB24" s="2"/>
      <c r="AAC24" s="2"/>
      <c r="AAD24" s="2"/>
      <c r="AAE24" s="2"/>
      <c r="AAF24" s="2"/>
      <c r="AAG24" s="2"/>
      <c r="AAH24" s="2"/>
      <c r="AAI24" s="2"/>
      <c r="AAJ24" s="2"/>
      <c r="AAK24" s="2"/>
      <c r="AAL24" s="2"/>
      <c r="AAM24" s="2"/>
      <c r="AAN24" s="2"/>
      <c r="AAO24" s="2"/>
      <c r="AAP24" s="2"/>
      <c r="AAQ24" s="2"/>
      <c r="AAR24" s="2"/>
      <c r="AAS24" s="2"/>
      <c r="AAT24" s="2"/>
      <c r="AAU24" s="2"/>
      <c r="AAV24" s="2"/>
      <c r="AAW24" s="2"/>
      <c r="AAX24" s="2"/>
      <c r="AAY24" s="2"/>
      <c r="AAZ24" s="2"/>
      <c r="ABA24" s="2"/>
      <c r="ABB24" s="2"/>
      <c r="ABC24" s="2"/>
      <c r="ABD24" s="2"/>
      <c r="ABE24" s="2"/>
      <c r="ABF24" s="2"/>
      <c r="ABG24" s="2"/>
      <c r="ABH24" s="2"/>
      <c r="ABI24" s="2"/>
      <c r="ABJ24" s="2"/>
      <c r="ABK24" s="2"/>
      <c r="ABL24" s="2"/>
      <c r="ABM24" s="2"/>
      <c r="ABN24" s="2"/>
      <c r="ABO24" s="2"/>
      <c r="ABP24" s="2"/>
      <c r="ABQ24" s="2"/>
      <c r="ABR24" s="2"/>
      <c r="ABS24" s="2"/>
      <c r="ABT24" s="2"/>
      <c r="ABU24" s="2"/>
      <c r="ABV24" s="2"/>
      <c r="ABW24" s="2"/>
      <c r="ABX24" s="2"/>
      <c r="ABY24" s="2"/>
      <c r="ABZ24" s="2"/>
      <c r="ACA24" s="2"/>
      <c r="ACB24" s="2"/>
      <c r="ACC24" s="2"/>
      <c r="ACD24" s="2"/>
      <c r="ACE24" s="2"/>
      <c r="ACF24" s="2"/>
      <c r="ACG24" s="2"/>
      <c r="ACH24" s="2"/>
      <c r="ACI24" s="2"/>
      <c r="ACJ24" s="2"/>
      <c r="ACK24" s="2"/>
      <c r="ACL24" s="2"/>
      <c r="ACM24" s="2"/>
      <c r="ACN24" s="2"/>
      <c r="ACO24" s="2"/>
      <c r="ACP24" s="2"/>
      <c r="ACQ24" s="2"/>
      <c r="ACR24" s="2"/>
      <c r="ACS24" s="2"/>
      <c r="ACT24" s="2"/>
      <c r="ACU24" s="2"/>
      <c r="ACV24" s="2"/>
      <c r="ACW24" s="2"/>
      <c r="ACX24" s="2"/>
      <c r="ACY24" s="2"/>
      <c r="ACZ24" s="2"/>
      <c r="ADA24" s="2"/>
      <c r="ADB24" s="2"/>
      <c r="ADC24" s="2"/>
      <c r="ADD24" s="2"/>
      <c r="ADE24" s="2"/>
      <c r="ADF24" s="2"/>
      <c r="ADG24" s="2"/>
      <c r="ADH24" s="2"/>
      <c r="ADI24" s="2"/>
      <c r="ADJ24" s="2"/>
      <c r="ADK24" s="2"/>
      <c r="ADL24" s="2"/>
      <c r="ADM24" s="2"/>
      <c r="ADN24" s="2"/>
      <c r="ADO24" s="2"/>
      <c r="ADP24" s="2"/>
      <c r="ADQ24" s="2"/>
      <c r="ADR24" s="2"/>
      <c r="ADS24" s="2"/>
      <c r="ADT24" s="2"/>
      <c r="ADU24" s="2"/>
      <c r="ADV24" s="2"/>
      <c r="ADW24" s="2"/>
      <c r="ADX24" s="2"/>
      <c r="ADY24" s="2"/>
      <c r="ADZ24" s="2"/>
      <c r="AEA24" s="2"/>
      <c r="AEB24" s="2"/>
      <c r="AEC24" s="2"/>
      <c r="AED24" s="2"/>
      <c r="AEE24" s="2"/>
      <c r="AEF24" s="2"/>
      <c r="AEG24" s="2"/>
      <c r="AEH24" s="2"/>
      <c r="AEI24" s="2"/>
      <c r="AEJ24" s="2"/>
      <c r="AEK24" s="2"/>
      <c r="AEL24" s="2"/>
      <c r="AEM24" s="2"/>
      <c r="AEN24" s="2"/>
      <c r="AEO24" s="2"/>
      <c r="AEP24" s="2"/>
      <c r="AEQ24" s="2"/>
      <c r="AER24" s="2"/>
      <c r="AES24" s="2"/>
      <c r="AET24" s="2"/>
      <c r="AEU24" s="2"/>
      <c r="AEV24" s="2"/>
      <c r="AEW24" s="2"/>
      <c r="AEX24" s="2"/>
      <c r="AEY24" s="2"/>
      <c r="AEZ24" s="2"/>
      <c r="AFA24" s="2"/>
      <c r="AFB24" s="2"/>
      <c r="AFC24" s="2"/>
      <c r="AFD24" s="2"/>
      <c r="AFE24" s="2"/>
      <c r="AFF24" s="2"/>
      <c r="AFG24" s="2"/>
      <c r="AFH24" s="2"/>
      <c r="AFI24" s="2"/>
      <c r="AFJ24" s="2"/>
      <c r="AFK24" s="2"/>
      <c r="AFL24" s="2"/>
      <c r="AFM24" s="2"/>
      <c r="AFN24" s="2"/>
      <c r="AFO24" s="2"/>
      <c r="AFP24" s="2"/>
      <c r="AFQ24" s="2"/>
      <c r="AFR24" s="2"/>
      <c r="AFS24" s="2"/>
      <c r="AFT24" s="2"/>
      <c r="AFU24" s="2"/>
      <c r="AFV24" s="2"/>
      <c r="AFW24" s="2"/>
      <c r="AFX24" s="2"/>
      <c r="AFY24" s="2"/>
      <c r="AFZ24" s="2"/>
      <c r="AGA24" s="2"/>
      <c r="AGB24" s="2"/>
      <c r="AGC24" s="2"/>
      <c r="AGD24" s="2"/>
      <c r="AGE24" s="2"/>
      <c r="AGF24" s="2"/>
      <c r="AGG24" s="2"/>
      <c r="AGH24" s="2"/>
      <c r="AGI24" s="2"/>
      <c r="AGJ24" s="2"/>
      <c r="AGK24" s="2"/>
      <c r="AGL24" s="2"/>
      <c r="AGM24" s="2"/>
      <c r="AGN24" s="2"/>
      <c r="AGO24" s="2"/>
      <c r="AGP24" s="2"/>
      <c r="AGQ24" s="2"/>
      <c r="AGR24" s="2"/>
      <c r="AGS24" s="2"/>
      <c r="AGT24" s="2"/>
      <c r="AGU24" s="2"/>
      <c r="AGV24" s="2"/>
      <c r="AGW24" s="2"/>
      <c r="AGX24" s="2"/>
      <c r="AGY24" s="2"/>
      <c r="AGZ24" s="2"/>
      <c r="AHA24" s="2"/>
      <c r="AHB24" s="2"/>
      <c r="AHC24" s="2"/>
      <c r="AHD24" s="2"/>
      <c r="AHE24" s="2"/>
      <c r="AHF24" s="2"/>
      <c r="AHG24" s="2"/>
      <c r="AHH24" s="2"/>
      <c r="AHI24" s="2"/>
      <c r="AHJ24" s="2"/>
      <c r="AHK24" s="2"/>
      <c r="AHL24" s="2"/>
      <c r="AHM24" s="2"/>
      <c r="AHN24" s="2"/>
      <c r="AHO24" s="2"/>
      <c r="AHP24" s="2"/>
      <c r="AHQ24" s="2"/>
      <c r="AHR24" s="2"/>
      <c r="AHS24" s="2"/>
      <c r="AHT24" s="2"/>
      <c r="AHU24" s="2"/>
      <c r="AHV24" s="2"/>
      <c r="AHW24" s="2"/>
      <c r="AHX24" s="2"/>
      <c r="AHY24" s="2"/>
      <c r="AHZ24" s="2"/>
      <c r="AIA24" s="2"/>
      <c r="AIB24" s="2"/>
      <c r="AIC24" s="2"/>
      <c r="AID24" s="2"/>
      <c r="AIE24" s="2"/>
      <c r="AIF24" s="2"/>
      <c r="AIG24" s="2"/>
      <c r="AIH24" s="2"/>
      <c r="AII24" s="2"/>
      <c r="AIJ24" s="2"/>
      <c r="AIK24" s="2"/>
      <c r="AIL24" s="2"/>
      <c r="AIM24" s="2"/>
      <c r="AIN24" s="2"/>
      <c r="AIO24" s="2"/>
      <c r="AIP24" s="2"/>
      <c r="AIQ24" s="2"/>
      <c r="AIR24" s="2"/>
      <c r="AIS24" s="2"/>
      <c r="AIT24" s="2"/>
      <c r="AIU24" s="2"/>
      <c r="AIV24" s="2"/>
      <c r="AIW24" s="2"/>
      <c r="AIX24" s="2"/>
      <c r="AIY24" s="2"/>
      <c r="AIZ24" s="2"/>
      <c r="AJA24" s="2"/>
      <c r="AJB24" s="2"/>
      <c r="AJC24" s="2"/>
      <c r="AJD24" s="2"/>
      <c r="AJE24" s="2"/>
      <c r="AJF24" s="2"/>
      <c r="AJG24" s="2"/>
      <c r="AJH24" s="2"/>
      <c r="AJI24" s="2"/>
      <c r="AJJ24" s="2"/>
      <c r="AJK24" s="2"/>
      <c r="AJL24" s="2"/>
      <c r="AJM24" s="2"/>
      <c r="AJN24" s="2"/>
      <c r="AJO24" s="2"/>
      <c r="AJP24" s="2"/>
      <c r="AJQ24" s="2"/>
      <c r="AJR24" s="2"/>
      <c r="AJS24" s="2"/>
      <c r="AJT24" s="2"/>
      <c r="AJU24" s="2"/>
      <c r="AJV24" s="2"/>
      <c r="AJW24" s="2"/>
      <c r="AJX24" s="2"/>
      <c r="AJY24" s="2"/>
      <c r="AJZ24" s="2"/>
      <c r="AKA24" s="2"/>
    </row>
    <row r="25" spans="1:963">
      <c r="A25" s="7">
        <v>24</v>
      </c>
      <c r="B25" s="2">
        <v>3</v>
      </c>
      <c r="C25" s="16">
        <v>17.12</v>
      </c>
      <c r="D25" s="9">
        <v>14.45</v>
      </c>
      <c r="E25" s="9">
        <v>1.63</v>
      </c>
      <c r="F25" s="9">
        <v>0.54</v>
      </c>
      <c r="G25" s="16">
        <v>660</v>
      </c>
      <c r="H25" s="9">
        <f t="shared" si="3"/>
        <v>8.8650306748466257</v>
      </c>
      <c r="I25" s="9">
        <f t="shared" si="0"/>
        <v>0.33128834355828224</v>
      </c>
      <c r="J25" s="9">
        <f t="shared" si="1"/>
        <v>404.90797546012271</v>
      </c>
      <c r="K25" s="9">
        <f t="shared" si="2"/>
        <v>5850.9202453987737</v>
      </c>
      <c r="L25" s="16">
        <v>10</v>
      </c>
      <c r="M25" s="16" t="s">
        <v>30</v>
      </c>
      <c r="N25" s="16">
        <v>3.3</v>
      </c>
      <c r="O25" s="18">
        <v>17.12</v>
      </c>
      <c r="P25" s="9">
        <v>14.45</v>
      </c>
      <c r="Q25" s="9">
        <v>1.63</v>
      </c>
      <c r="R25" s="9">
        <v>0.54</v>
      </c>
      <c r="S25" s="9">
        <v>0.48</v>
      </c>
      <c r="T25" s="9">
        <v>0</v>
      </c>
      <c r="U25" s="9">
        <v>0.02</v>
      </c>
      <c r="V25" s="18">
        <v>6.4</v>
      </c>
      <c r="W25" s="18">
        <v>92</v>
      </c>
      <c r="X25" s="18">
        <v>0.28999999999999998</v>
      </c>
      <c r="Y25" s="18">
        <v>660</v>
      </c>
      <c r="Z25" s="18">
        <v>0.2</v>
      </c>
      <c r="AA25" s="18"/>
      <c r="AB25" s="18">
        <v>157.5</v>
      </c>
      <c r="AC25" s="18">
        <v>4.42</v>
      </c>
      <c r="AD25" s="18">
        <v>120.9</v>
      </c>
      <c r="AE25" s="18">
        <v>2.88</v>
      </c>
      <c r="AF25" s="18">
        <v>2.88</v>
      </c>
      <c r="AG25" s="18">
        <v>28.54</v>
      </c>
      <c r="AH25" s="18">
        <v>275.5</v>
      </c>
      <c r="AI25" s="18">
        <v>12.5</v>
      </c>
      <c r="AJ25" s="18">
        <v>116.8</v>
      </c>
      <c r="AK25" s="18">
        <v>69.3</v>
      </c>
      <c r="AL25" s="18">
        <v>30.43</v>
      </c>
      <c r="AM25" s="26">
        <v>1.02</v>
      </c>
      <c r="AN25" s="26">
        <v>0.71199999999999997</v>
      </c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  <c r="JC25" s="2"/>
      <c r="JD25" s="2"/>
      <c r="JE25" s="2"/>
      <c r="JF25" s="2"/>
      <c r="JG25" s="2"/>
      <c r="JH25" s="2"/>
      <c r="JI25" s="2"/>
      <c r="JJ25" s="2"/>
      <c r="JK25" s="2"/>
      <c r="JL25" s="2"/>
      <c r="JM25" s="2"/>
      <c r="JN25" s="2"/>
      <c r="JO25" s="2"/>
      <c r="JP25" s="2"/>
      <c r="JQ25" s="2"/>
      <c r="JR25" s="2"/>
      <c r="JS25" s="2"/>
      <c r="JT25" s="2"/>
      <c r="JU25" s="2"/>
      <c r="JV25" s="2"/>
      <c r="JW25" s="2"/>
      <c r="JX25" s="2"/>
      <c r="JY25" s="2"/>
      <c r="JZ25" s="2"/>
      <c r="KA25" s="2"/>
      <c r="KB25" s="2"/>
      <c r="KC25" s="2"/>
      <c r="KD25" s="2"/>
      <c r="KE25" s="2"/>
      <c r="KF25" s="2"/>
      <c r="KG25" s="2"/>
      <c r="KH25" s="2"/>
      <c r="KI25" s="2"/>
      <c r="KJ25" s="2"/>
      <c r="KK25" s="2"/>
      <c r="KL25" s="2"/>
      <c r="KM25" s="2"/>
      <c r="KN25" s="2"/>
      <c r="KO25" s="2"/>
      <c r="KP25" s="2"/>
      <c r="KQ25" s="2"/>
      <c r="KR25" s="2"/>
      <c r="KS25" s="2"/>
      <c r="KT25" s="2"/>
      <c r="KU25" s="2"/>
      <c r="KV25" s="2"/>
      <c r="KW25" s="2"/>
      <c r="KX25" s="2"/>
      <c r="KY25" s="2"/>
      <c r="KZ25" s="2"/>
      <c r="LA25" s="2"/>
      <c r="LB25" s="2"/>
      <c r="LC25" s="2"/>
      <c r="LD25" s="2"/>
      <c r="LE25" s="2"/>
      <c r="LF25" s="2"/>
      <c r="LG25" s="2"/>
      <c r="LH25" s="2"/>
      <c r="LI25" s="2"/>
      <c r="LJ25" s="2"/>
      <c r="LK25" s="2"/>
      <c r="LL25" s="2"/>
      <c r="LM25" s="2"/>
      <c r="LN25" s="2"/>
      <c r="LO25" s="2"/>
      <c r="LP25" s="2"/>
      <c r="LQ25" s="2"/>
      <c r="LR25" s="2"/>
      <c r="LS25" s="2"/>
      <c r="LT25" s="2"/>
      <c r="LU25" s="2"/>
      <c r="LV25" s="2"/>
      <c r="LW25" s="2"/>
      <c r="LX25" s="2"/>
      <c r="LY25" s="2"/>
      <c r="LZ25" s="2"/>
      <c r="MA25" s="2"/>
      <c r="MB25" s="2"/>
      <c r="MC25" s="2"/>
      <c r="MD25" s="2"/>
      <c r="ME25" s="2"/>
      <c r="MF25" s="2"/>
      <c r="MG25" s="2"/>
      <c r="MH25" s="2"/>
      <c r="MI25" s="2"/>
      <c r="MJ25" s="2"/>
      <c r="MK25" s="2"/>
      <c r="ML25" s="2"/>
      <c r="MM25" s="2"/>
      <c r="MN25" s="2"/>
      <c r="MO25" s="2"/>
      <c r="MP25" s="2"/>
      <c r="MQ25" s="2"/>
      <c r="MR25" s="2"/>
      <c r="MS25" s="2"/>
      <c r="MT25" s="2"/>
      <c r="MU25" s="2"/>
      <c r="MV25" s="2"/>
      <c r="MW25" s="2"/>
      <c r="MX25" s="2"/>
      <c r="MY25" s="2"/>
      <c r="MZ25" s="2"/>
      <c r="NA25" s="2"/>
      <c r="NB25" s="2"/>
      <c r="NC25" s="2"/>
      <c r="ND25" s="2"/>
      <c r="NE25" s="2"/>
      <c r="NF25" s="2"/>
      <c r="NG25" s="2"/>
      <c r="NH25" s="2"/>
      <c r="NI25" s="2"/>
      <c r="NJ25" s="2"/>
      <c r="NK25" s="2"/>
      <c r="NL25" s="2"/>
      <c r="NM25" s="2"/>
      <c r="NN25" s="2"/>
      <c r="NO25" s="2"/>
      <c r="NP25" s="2"/>
      <c r="NQ25" s="2"/>
      <c r="NR25" s="2"/>
      <c r="NS25" s="2"/>
      <c r="NT25" s="2"/>
      <c r="NU25" s="2"/>
      <c r="NV25" s="2"/>
      <c r="NW25" s="2"/>
      <c r="NX25" s="2"/>
      <c r="NY25" s="2"/>
      <c r="NZ25" s="2"/>
      <c r="OA25" s="2"/>
      <c r="OB25" s="2"/>
      <c r="OC25" s="2"/>
      <c r="OD25" s="2"/>
      <c r="OE25" s="2"/>
      <c r="OF25" s="2"/>
      <c r="OG25" s="2"/>
      <c r="OH25" s="2"/>
      <c r="OI25" s="2"/>
      <c r="OJ25" s="2"/>
      <c r="OK25" s="2"/>
      <c r="OL25" s="2"/>
      <c r="OM25" s="2"/>
      <c r="ON25" s="2"/>
      <c r="OO25" s="2"/>
      <c r="OP25" s="2"/>
      <c r="OQ25" s="2"/>
      <c r="OR25" s="2"/>
      <c r="OS25" s="2"/>
      <c r="OT25" s="2"/>
      <c r="OU25" s="2"/>
      <c r="OV25" s="2"/>
      <c r="OW25" s="2"/>
      <c r="OX25" s="2"/>
      <c r="OY25" s="2"/>
      <c r="OZ25" s="2"/>
      <c r="PA25" s="2"/>
      <c r="PB25" s="2"/>
      <c r="PC25" s="2"/>
      <c r="PD25" s="2"/>
      <c r="PE25" s="2"/>
      <c r="PF25" s="2"/>
      <c r="PG25" s="2"/>
      <c r="PH25" s="2"/>
      <c r="PI25" s="2"/>
      <c r="PJ25" s="2"/>
      <c r="PK25" s="2"/>
      <c r="PL25" s="2"/>
      <c r="PM25" s="2"/>
      <c r="PN25" s="2"/>
      <c r="PO25" s="2"/>
      <c r="PP25" s="2"/>
      <c r="PQ25" s="2"/>
      <c r="PR25" s="2"/>
      <c r="PS25" s="2"/>
      <c r="PT25" s="2"/>
      <c r="PU25" s="2"/>
      <c r="PV25" s="2"/>
      <c r="PW25" s="2"/>
      <c r="PX25" s="2"/>
      <c r="PY25" s="2"/>
      <c r="PZ25" s="2"/>
      <c r="QA25" s="2"/>
      <c r="QB25" s="2"/>
      <c r="QC25" s="2"/>
      <c r="QD25" s="2"/>
      <c r="QE25" s="2"/>
      <c r="QF25" s="2"/>
      <c r="QG25" s="2"/>
      <c r="QH25" s="2"/>
      <c r="QI25" s="2"/>
      <c r="QJ25" s="2"/>
      <c r="QK25" s="2"/>
      <c r="QL25" s="2"/>
      <c r="QM25" s="2"/>
      <c r="QN25" s="2"/>
      <c r="QO25" s="2"/>
      <c r="QP25" s="2"/>
      <c r="QQ25" s="2"/>
      <c r="QR25" s="2"/>
      <c r="QS25" s="2"/>
      <c r="QT25" s="2"/>
      <c r="QU25" s="2"/>
      <c r="QV25" s="2"/>
      <c r="QW25" s="2"/>
      <c r="QX25" s="2"/>
      <c r="QY25" s="2"/>
      <c r="QZ25" s="2"/>
      <c r="RA25" s="2"/>
      <c r="RB25" s="2"/>
      <c r="RC25" s="2"/>
      <c r="RD25" s="2"/>
      <c r="RE25" s="2"/>
      <c r="RF25" s="2"/>
      <c r="RG25" s="2"/>
      <c r="RH25" s="2"/>
      <c r="RI25" s="2"/>
      <c r="RJ25" s="2"/>
      <c r="RK25" s="2"/>
      <c r="RL25" s="2"/>
      <c r="RM25" s="2"/>
      <c r="RN25" s="2"/>
      <c r="RO25" s="2"/>
      <c r="RP25" s="2"/>
      <c r="RQ25" s="2"/>
      <c r="RR25" s="2"/>
      <c r="RS25" s="2"/>
      <c r="RT25" s="2"/>
      <c r="RU25" s="2"/>
      <c r="RV25" s="2"/>
      <c r="RW25" s="2"/>
      <c r="RX25" s="2"/>
      <c r="RY25" s="2"/>
      <c r="RZ25" s="2"/>
      <c r="SA25" s="2"/>
      <c r="SB25" s="2"/>
      <c r="SC25" s="2"/>
      <c r="SD25" s="2"/>
      <c r="SE25" s="2"/>
      <c r="SF25" s="2"/>
      <c r="SG25" s="2"/>
      <c r="SH25" s="2"/>
      <c r="SI25" s="2"/>
      <c r="SJ25" s="2"/>
      <c r="SK25" s="2"/>
      <c r="SL25" s="2"/>
      <c r="SM25" s="2"/>
      <c r="SN25" s="2"/>
      <c r="SO25" s="2"/>
      <c r="SP25" s="2"/>
      <c r="SQ25" s="2"/>
      <c r="SR25" s="2"/>
      <c r="SS25" s="2"/>
      <c r="ST25" s="2"/>
      <c r="SU25" s="2"/>
      <c r="SV25" s="2"/>
      <c r="SW25" s="2"/>
      <c r="SX25" s="2"/>
      <c r="SY25" s="2"/>
      <c r="SZ25" s="2"/>
      <c r="TA25" s="2"/>
      <c r="TB25" s="2"/>
      <c r="TC25" s="2"/>
      <c r="TD25" s="2"/>
      <c r="TE25" s="2"/>
      <c r="TF25" s="2"/>
      <c r="TG25" s="2"/>
      <c r="TH25" s="2"/>
      <c r="TI25" s="2"/>
      <c r="TJ25" s="2"/>
      <c r="TK25" s="2"/>
      <c r="TL25" s="2"/>
      <c r="TM25" s="2"/>
      <c r="TN25" s="2"/>
      <c r="TO25" s="2"/>
      <c r="TP25" s="2"/>
      <c r="TQ25" s="2"/>
      <c r="TR25" s="2"/>
      <c r="TS25" s="2"/>
      <c r="TT25" s="2"/>
      <c r="TU25" s="2"/>
      <c r="TV25" s="2"/>
      <c r="TW25" s="2"/>
      <c r="TX25" s="2"/>
      <c r="TY25" s="2"/>
      <c r="TZ25" s="2"/>
      <c r="UA25" s="2"/>
      <c r="UB25" s="2"/>
      <c r="UC25" s="2"/>
      <c r="UD25" s="2"/>
      <c r="UE25" s="2"/>
      <c r="UF25" s="2"/>
      <c r="UG25" s="2"/>
      <c r="UH25" s="2"/>
      <c r="UI25" s="2"/>
      <c r="UJ25" s="2"/>
      <c r="UK25" s="2"/>
      <c r="UL25" s="2"/>
      <c r="UM25" s="2"/>
      <c r="UN25" s="2"/>
      <c r="UO25" s="2"/>
      <c r="UP25" s="2"/>
      <c r="UQ25" s="2"/>
      <c r="UR25" s="2"/>
      <c r="US25" s="2"/>
      <c r="UT25" s="2"/>
      <c r="UU25" s="2"/>
      <c r="UV25" s="2"/>
      <c r="UW25" s="2"/>
      <c r="UX25" s="2"/>
      <c r="UY25" s="2"/>
      <c r="UZ25" s="2"/>
      <c r="VA25" s="2"/>
      <c r="VB25" s="2"/>
      <c r="VC25" s="2"/>
      <c r="VD25" s="2"/>
      <c r="VE25" s="2"/>
      <c r="VF25" s="2"/>
      <c r="VG25" s="2"/>
      <c r="VH25" s="2"/>
      <c r="VI25" s="2"/>
      <c r="VJ25" s="2"/>
      <c r="VK25" s="2"/>
      <c r="VL25" s="2"/>
      <c r="VM25" s="2"/>
      <c r="VN25" s="2"/>
      <c r="VO25" s="2"/>
      <c r="VP25" s="2"/>
      <c r="VQ25" s="2"/>
      <c r="VR25" s="2"/>
      <c r="VS25" s="2"/>
      <c r="VT25" s="2"/>
      <c r="VU25" s="2"/>
      <c r="VV25" s="2"/>
      <c r="VW25" s="2"/>
      <c r="VX25" s="2"/>
      <c r="VY25" s="2"/>
      <c r="VZ25" s="2"/>
      <c r="WA25" s="2"/>
      <c r="WB25" s="2"/>
      <c r="WC25" s="2"/>
      <c r="WD25" s="2"/>
      <c r="WE25" s="2"/>
      <c r="WF25" s="2"/>
      <c r="WG25" s="2"/>
      <c r="WH25" s="2"/>
      <c r="WI25" s="2"/>
      <c r="WJ25" s="2"/>
      <c r="WK25" s="2"/>
      <c r="WL25" s="2"/>
      <c r="WM25" s="2"/>
      <c r="WN25" s="2"/>
      <c r="WO25" s="2"/>
      <c r="WP25" s="2"/>
      <c r="WQ25" s="2"/>
      <c r="WR25" s="2"/>
      <c r="WS25" s="2"/>
      <c r="WT25" s="2"/>
      <c r="WU25" s="2"/>
      <c r="WV25" s="2"/>
      <c r="WW25" s="2"/>
      <c r="WX25" s="2"/>
      <c r="WY25" s="2"/>
      <c r="WZ25" s="2"/>
      <c r="XA25" s="2"/>
      <c r="XB25" s="2"/>
      <c r="XC25" s="2"/>
      <c r="XD25" s="2"/>
      <c r="XE25" s="2"/>
      <c r="XF25" s="2"/>
      <c r="XG25" s="2"/>
      <c r="XH25" s="2"/>
      <c r="XI25" s="2"/>
      <c r="XJ25" s="2"/>
      <c r="XK25" s="2"/>
      <c r="XL25" s="2"/>
      <c r="XM25" s="2"/>
      <c r="XN25" s="2"/>
      <c r="XO25" s="2"/>
      <c r="XP25" s="2"/>
      <c r="XQ25" s="2"/>
      <c r="XR25" s="2"/>
      <c r="XS25" s="2"/>
      <c r="XT25" s="2"/>
      <c r="XU25" s="2"/>
      <c r="XV25" s="2"/>
      <c r="XW25" s="2"/>
      <c r="XX25" s="2"/>
      <c r="XY25" s="2"/>
      <c r="XZ25" s="2"/>
      <c r="YA25" s="2"/>
      <c r="YB25" s="2"/>
      <c r="YC25" s="2"/>
      <c r="YD25" s="2"/>
      <c r="YE25" s="2"/>
      <c r="YF25" s="2"/>
      <c r="YG25" s="2"/>
      <c r="YH25" s="2"/>
      <c r="YI25" s="2"/>
      <c r="YJ25" s="2"/>
      <c r="YK25" s="2"/>
      <c r="YL25" s="2"/>
      <c r="YM25" s="2"/>
      <c r="YN25" s="2"/>
      <c r="YO25" s="2"/>
      <c r="YP25" s="2"/>
      <c r="YQ25" s="2"/>
      <c r="YR25" s="2"/>
      <c r="YS25" s="2"/>
      <c r="YT25" s="2"/>
      <c r="YU25" s="2"/>
      <c r="YV25" s="2"/>
      <c r="YW25" s="2"/>
      <c r="YX25" s="2"/>
      <c r="YY25" s="2"/>
      <c r="YZ25" s="2"/>
      <c r="ZA25" s="2"/>
      <c r="ZB25" s="2"/>
      <c r="ZC25" s="2"/>
      <c r="ZD25" s="2"/>
      <c r="ZE25" s="2"/>
      <c r="ZF25" s="2"/>
      <c r="ZG25" s="2"/>
      <c r="ZH25" s="2"/>
      <c r="ZI25" s="2"/>
      <c r="ZJ25" s="2"/>
      <c r="ZK25" s="2"/>
      <c r="ZL25" s="2"/>
      <c r="ZM25" s="2"/>
      <c r="ZN25" s="2"/>
      <c r="ZO25" s="2"/>
      <c r="ZP25" s="2"/>
      <c r="ZQ25" s="2"/>
      <c r="ZR25" s="2"/>
      <c r="ZS25" s="2"/>
      <c r="ZT25" s="2"/>
      <c r="ZU25" s="2"/>
      <c r="ZV25" s="2"/>
      <c r="ZW25" s="2"/>
      <c r="ZX25" s="2"/>
      <c r="ZY25" s="2"/>
      <c r="ZZ25" s="2"/>
      <c r="AAA25" s="2"/>
      <c r="AAB25" s="2"/>
      <c r="AAC25" s="2"/>
      <c r="AAD25" s="2"/>
      <c r="AAE25" s="2"/>
      <c r="AAF25" s="2"/>
      <c r="AAG25" s="2"/>
      <c r="AAH25" s="2"/>
      <c r="AAI25" s="2"/>
      <c r="AAJ25" s="2"/>
      <c r="AAK25" s="2"/>
      <c r="AAL25" s="2"/>
      <c r="AAM25" s="2"/>
      <c r="AAN25" s="2"/>
      <c r="AAO25" s="2"/>
      <c r="AAP25" s="2"/>
      <c r="AAQ25" s="2"/>
      <c r="AAR25" s="2"/>
      <c r="AAS25" s="2"/>
      <c r="AAT25" s="2"/>
      <c r="AAU25" s="2"/>
      <c r="AAV25" s="2"/>
      <c r="AAW25" s="2"/>
      <c r="AAX25" s="2"/>
      <c r="AAY25" s="2"/>
      <c r="AAZ25" s="2"/>
      <c r="ABA25" s="2"/>
      <c r="ABB25" s="2"/>
      <c r="ABC25" s="2"/>
      <c r="ABD25" s="2"/>
      <c r="ABE25" s="2"/>
      <c r="ABF25" s="2"/>
      <c r="ABG25" s="2"/>
      <c r="ABH25" s="2"/>
      <c r="ABI25" s="2"/>
      <c r="ABJ25" s="2"/>
      <c r="ABK25" s="2"/>
      <c r="ABL25" s="2"/>
      <c r="ABM25" s="2"/>
      <c r="ABN25" s="2"/>
      <c r="ABO25" s="2"/>
      <c r="ABP25" s="2"/>
      <c r="ABQ25" s="2"/>
      <c r="ABR25" s="2"/>
      <c r="ABS25" s="2"/>
      <c r="ABT25" s="2"/>
      <c r="ABU25" s="2"/>
      <c r="ABV25" s="2"/>
      <c r="ABW25" s="2"/>
      <c r="ABX25" s="2"/>
      <c r="ABY25" s="2"/>
      <c r="ABZ25" s="2"/>
      <c r="ACA25" s="2"/>
      <c r="ACB25" s="2"/>
      <c r="ACC25" s="2"/>
      <c r="ACD25" s="2"/>
      <c r="ACE25" s="2"/>
      <c r="ACF25" s="2"/>
      <c r="ACG25" s="2"/>
      <c r="ACH25" s="2"/>
      <c r="ACI25" s="2"/>
      <c r="ACJ25" s="2"/>
      <c r="ACK25" s="2"/>
      <c r="ACL25" s="2"/>
      <c r="ACM25" s="2"/>
      <c r="ACN25" s="2"/>
      <c r="ACO25" s="2"/>
      <c r="ACP25" s="2"/>
      <c r="ACQ25" s="2"/>
      <c r="ACR25" s="2"/>
      <c r="ACS25" s="2"/>
      <c r="ACT25" s="2"/>
      <c r="ACU25" s="2"/>
      <c r="ACV25" s="2"/>
      <c r="ACW25" s="2"/>
      <c r="ACX25" s="2"/>
      <c r="ACY25" s="2"/>
      <c r="ACZ25" s="2"/>
      <c r="ADA25" s="2"/>
      <c r="ADB25" s="2"/>
      <c r="ADC25" s="2"/>
      <c r="ADD25" s="2"/>
      <c r="ADE25" s="2"/>
      <c r="ADF25" s="2"/>
      <c r="ADG25" s="2"/>
      <c r="ADH25" s="2"/>
      <c r="ADI25" s="2"/>
      <c r="ADJ25" s="2"/>
      <c r="ADK25" s="2"/>
      <c r="ADL25" s="2"/>
      <c r="ADM25" s="2"/>
      <c r="ADN25" s="2"/>
      <c r="ADO25" s="2"/>
      <c r="ADP25" s="2"/>
      <c r="ADQ25" s="2"/>
      <c r="ADR25" s="2"/>
      <c r="ADS25" s="2"/>
      <c r="ADT25" s="2"/>
      <c r="ADU25" s="2"/>
      <c r="ADV25" s="2"/>
      <c r="ADW25" s="2"/>
      <c r="ADX25" s="2"/>
      <c r="ADY25" s="2"/>
      <c r="ADZ25" s="2"/>
      <c r="AEA25" s="2"/>
      <c r="AEB25" s="2"/>
      <c r="AEC25" s="2"/>
      <c r="AED25" s="2"/>
      <c r="AEE25" s="2"/>
      <c r="AEF25" s="2"/>
      <c r="AEG25" s="2"/>
      <c r="AEH25" s="2"/>
      <c r="AEI25" s="2"/>
      <c r="AEJ25" s="2"/>
      <c r="AEK25" s="2"/>
      <c r="AEL25" s="2"/>
      <c r="AEM25" s="2"/>
      <c r="AEN25" s="2"/>
      <c r="AEO25" s="2"/>
      <c r="AEP25" s="2"/>
      <c r="AEQ25" s="2"/>
      <c r="AER25" s="2"/>
      <c r="AES25" s="2"/>
      <c r="AET25" s="2"/>
      <c r="AEU25" s="2"/>
      <c r="AEV25" s="2"/>
      <c r="AEW25" s="2"/>
      <c r="AEX25" s="2"/>
      <c r="AEY25" s="2"/>
      <c r="AEZ25" s="2"/>
      <c r="AFA25" s="2"/>
      <c r="AFB25" s="2"/>
      <c r="AFC25" s="2"/>
      <c r="AFD25" s="2"/>
      <c r="AFE25" s="2"/>
      <c r="AFF25" s="2"/>
      <c r="AFG25" s="2"/>
      <c r="AFH25" s="2"/>
      <c r="AFI25" s="2"/>
      <c r="AFJ25" s="2"/>
      <c r="AFK25" s="2"/>
      <c r="AFL25" s="2"/>
      <c r="AFM25" s="2"/>
      <c r="AFN25" s="2"/>
      <c r="AFO25" s="2"/>
      <c r="AFP25" s="2"/>
      <c r="AFQ25" s="2"/>
      <c r="AFR25" s="2"/>
      <c r="AFS25" s="2"/>
      <c r="AFT25" s="2"/>
      <c r="AFU25" s="2"/>
      <c r="AFV25" s="2"/>
      <c r="AFW25" s="2"/>
      <c r="AFX25" s="2"/>
      <c r="AFY25" s="2"/>
      <c r="AFZ25" s="2"/>
      <c r="AGA25" s="2"/>
      <c r="AGB25" s="2"/>
      <c r="AGC25" s="2"/>
      <c r="AGD25" s="2"/>
      <c r="AGE25" s="2"/>
      <c r="AGF25" s="2"/>
      <c r="AGG25" s="2"/>
      <c r="AGH25" s="2"/>
      <c r="AGI25" s="2"/>
      <c r="AGJ25" s="2"/>
      <c r="AGK25" s="2"/>
      <c r="AGL25" s="2"/>
      <c r="AGM25" s="2"/>
      <c r="AGN25" s="2"/>
      <c r="AGO25" s="2"/>
      <c r="AGP25" s="2"/>
      <c r="AGQ25" s="2"/>
      <c r="AGR25" s="2"/>
      <c r="AGS25" s="2"/>
      <c r="AGT25" s="2"/>
      <c r="AGU25" s="2"/>
      <c r="AGV25" s="2"/>
      <c r="AGW25" s="2"/>
      <c r="AGX25" s="2"/>
      <c r="AGY25" s="2"/>
      <c r="AGZ25" s="2"/>
      <c r="AHA25" s="2"/>
      <c r="AHB25" s="2"/>
      <c r="AHC25" s="2"/>
      <c r="AHD25" s="2"/>
      <c r="AHE25" s="2"/>
      <c r="AHF25" s="2"/>
      <c r="AHG25" s="2"/>
      <c r="AHH25" s="2"/>
      <c r="AHI25" s="2"/>
      <c r="AHJ25" s="2"/>
      <c r="AHK25" s="2"/>
      <c r="AHL25" s="2"/>
      <c r="AHM25" s="2"/>
      <c r="AHN25" s="2"/>
      <c r="AHO25" s="2"/>
      <c r="AHP25" s="2"/>
      <c r="AHQ25" s="2"/>
      <c r="AHR25" s="2"/>
      <c r="AHS25" s="2"/>
      <c r="AHT25" s="2"/>
      <c r="AHU25" s="2"/>
      <c r="AHV25" s="2"/>
      <c r="AHW25" s="2"/>
      <c r="AHX25" s="2"/>
      <c r="AHY25" s="2"/>
      <c r="AHZ25" s="2"/>
      <c r="AIA25" s="2"/>
      <c r="AIB25" s="2"/>
      <c r="AIC25" s="2"/>
      <c r="AID25" s="2"/>
      <c r="AIE25" s="2"/>
      <c r="AIF25" s="2"/>
      <c r="AIG25" s="2"/>
      <c r="AIH25" s="2"/>
      <c r="AII25" s="2"/>
      <c r="AIJ25" s="2"/>
      <c r="AIK25" s="2"/>
      <c r="AIL25" s="2"/>
      <c r="AIM25" s="2"/>
      <c r="AIN25" s="2"/>
      <c r="AIO25" s="2"/>
      <c r="AIP25" s="2"/>
      <c r="AIQ25" s="2"/>
      <c r="AIR25" s="2"/>
      <c r="AIS25" s="2"/>
      <c r="AIT25" s="2"/>
      <c r="AIU25" s="2"/>
      <c r="AIV25" s="2"/>
      <c r="AIW25" s="2"/>
      <c r="AIX25" s="2"/>
      <c r="AIY25" s="2"/>
      <c r="AIZ25" s="2"/>
      <c r="AJA25" s="2"/>
      <c r="AJB25" s="2"/>
      <c r="AJC25" s="2"/>
      <c r="AJD25" s="2"/>
      <c r="AJE25" s="2"/>
      <c r="AJF25" s="2"/>
      <c r="AJG25" s="2"/>
      <c r="AJH25" s="2"/>
      <c r="AJI25" s="2"/>
      <c r="AJJ25" s="2"/>
      <c r="AJK25" s="2"/>
      <c r="AJL25" s="2"/>
      <c r="AJM25" s="2"/>
      <c r="AJN25" s="2"/>
      <c r="AJO25" s="2"/>
      <c r="AJP25" s="2"/>
      <c r="AJQ25" s="2"/>
      <c r="AJR25" s="2"/>
      <c r="AJS25" s="2"/>
      <c r="AJT25" s="2"/>
      <c r="AJU25" s="2"/>
      <c r="AJV25" s="2"/>
      <c r="AJW25" s="2"/>
      <c r="AJX25" s="2"/>
      <c r="AJY25" s="2"/>
      <c r="AJZ25" s="2"/>
      <c r="AKA25" s="2"/>
    </row>
    <row r="26" spans="1:963">
      <c r="A26" s="16">
        <v>25</v>
      </c>
      <c r="B26" s="2">
        <v>3</v>
      </c>
      <c r="C26" s="7">
        <v>6.92</v>
      </c>
      <c r="D26" s="7">
        <v>5.77</v>
      </c>
      <c r="E26" s="7">
        <v>0.82</v>
      </c>
      <c r="F26" s="7">
        <v>0.25</v>
      </c>
      <c r="G26" s="7">
        <v>168</v>
      </c>
      <c r="H26" s="9">
        <f t="shared" si="3"/>
        <v>7.0365853658536581</v>
      </c>
      <c r="I26" s="9">
        <f t="shared" si="0"/>
        <v>0.3048780487804878</v>
      </c>
      <c r="J26" s="9">
        <f t="shared" si="1"/>
        <v>204.87804878048783</v>
      </c>
      <c r="K26" s="9">
        <f t="shared" si="2"/>
        <v>1182.1463414634145</v>
      </c>
      <c r="L26" s="16">
        <v>19</v>
      </c>
      <c r="M26" s="16" t="s">
        <v>31</v>
      </c>
      <c r="N26" s="16">
        <v>3.4</v>
      </c>
      <c r="O26" s="9">
        <v>6.92</v>
      </c>
      <c r="P26" s="9">
        <v>5.77</v>
      </c>
      <c r="Q26" s="9">
        <v>0.82</v>
      </c>
      <c r="R26" s="9">
        <v>0.25</v>
      </c>
      <c r="S26" s="9">
        <v>0.26</v>
      </c>
      <c r="T26" s="9">
        <v>0.01</v>
      </c>
      <c r="U26" s="9">
        <v>0.01</v>
      </c>
      <c r="V26" s="18">
        <v>9.77</v>
      </c>
      <c r="W26" s="18">
        <v>116</v>
      </c>
      <c r="X26" s="18">
        <v>0.34</v>
      </c>
      <c r="Y26" s="9">
        <v>168</v>
      </c>
      <c r="Z26" s="18">
        <v>0.7</v>
      </c>
      <c r="AA26" s="18">
        <v>6.7000000000000004E-2</v>
      </c>
      <c r="AB26" s="18"/>
      <c r="AC26" s="18"/>
      <c r="AD26" s="18"/>
      <c r="AE26" s="18"/>
      <c r="AF26" s="18">
        <v>2.02</v>
      </c>
      <c r="AG26" s="9">
        <v>29.8</v>
      </c>
      <c r="AH26" s="9">
        <v>302</v>
      </c>
      <c r="AI26" s="18"/>
      <c r="AJ26" s="18"/>
      <c r="AK26" s="18"/>
      <c r="AL26" s="18"/>
      <c r="AM26" s="26">
        <v>1.014</v>
      </c>
      <c r="AN26" s="26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  <c r="JC26" s="2"/>
      <c r="JD26" s="2"/>
      <c r="JE26" s="2"/>
      <c r="JF26" s="2"/>
      <c r="JG26" s="2"/>
      <c r="JH26" s="2"/>
      <c r="JI26" s="2"/>
      <c r="JJ26" s="2"/>
      <c r="JK26" s="2"/>
      <c r="JL26" s="2"/>
      <c r="JM26" s="2"/>
      <c r="JN26" s="2"/>
      <c r="JO26" s="2"/>
      <c r="JP26" s="2"/>
      <c r="JQ26" s="2"/>
      <c r="JR26" s="2"/>
      <c r="JS26" s="2"/>
      <c r="JT26" s="2"/>
      <c r="JU26" s="2"/>
      <c r="JV26" s="2"/>
      <c r="JW26" s="2"/>
      <c r="JX26" s="2"/>
      <c r="JY26" s="2"/>
      <c r="JZ26" s="2"/>
      <c r="KA26" s="2"/>
      <c r="KB26" s="2"/>
      <c r="KC26" s="2"/>
      <c r="KD26" s="2"/>
      <c r="KE26" s="2"/>
      <c r="KF26" s="2"/>
      <c r="KG26" s="2"/>
      <c r="KH26" s="2"/>
      <c r="KI26" s="2"/>
      <c r="KJ26" s="2"/>
      <c r="KK26" s="2"/>
      <c r="KL26" s="2"/>
      <c r="KM26" s="2"/>
      <c r="KN26" s="2"/>
      <c r="KO26" s="2"/>
      <c r="KP26" s="2"/>
      <c r="KQ26" s="2"/>
      <c r="KR26" s="2"/>
      <c r="KS26" s="2"/>
      <c r="KT26" s="2"/>
      <c r="KU26" s="2"/>
      <c r="KV26" s="2"/>
      <c r="KW26" s="2"/>
      <c r="KX26" s="2"/>
      <c r="KY26" s="2"/>
      <c r="KZ26" s="2"/>
      <c r="LA26" s="2"/>
      <c r="LB26" s="2"/>
      <c r="LC26" s="2"/>
      <c r="LD26" s="2"/>
      <c r="LE26" s="2"/>
      <c r="LF26" s="2"/>
      <c r="LG26" s="2"/>
      <c r="LH26" s="2"/>
      <c r="LI26" s="2"/>
      <c r="LJ26" s="2"/>
      <c r="LK26" s="2"/>
      <c r="LL26" s="2"/>
      <c r="LM26" s="2"/>
      <c r="LN26" s="2"/>
      <c r="LO26" s="2"/>
      <c r="LP26" s="2"/>
      <c r="LQ26" s="2"/>
      <c r="LR26" s="2"/>
      <c r="LS26" s="2"/>
      <c r="LT26" s="2"/>
      <c r="LU26" s="2"/>
      <c r="LV26" s="2"/>
      <c r="LW26" s="2"/>
      <c r="LX26" s="2"/>
      <c r="LY26" s="2"/>
      <c r="LZ26" s="2"/>
      <c r="MA26" s="2"/>
      <c r="MB26" s="2"/>
      <c r="MC26" s="2"/>
      <c r="MD26" s="2"/>
      <c r="ME26" s="2"/>
      <c r="MF26" s="2"/>
      <c r="MG26" s="2"/>
      <c r="MH26" s="2"/>
      <c r="MI26" s="2"/>
      <c r="MJ26" s="2"/>
      <c r="MK26" s="2"/>
      <c r="ML26" s="2"/>
      <c r="MM26" s="2"/>
      <c r="MN26" s="2"/>
      <c r="MO26" s="2"/>
      <c r="MP26" s="2"/>
      <c r="MQ26" s="2"/>
      <c r="MR26" s="2"/>
      <c r="MS26" s="2"/>
      <c r="MT26" s="2"/>
      <c r="MU26" s="2"/>
      <c r="MV26" s="2"/>
      <c r="MW26" s="2"/>
      <c r="MX26" s="2"/>
      <c r="MY26" s="2"/>
      <c r="MZ26" s="2"/>
      <c r="NA26" s="2"/>
      <c r="NB26" s="2"/>
      <c r="NC26" s="2"/>
      <c r="ND26" s="2"/>
      <c r="NE26" s="2"/>
      <c r="NF26" s="2"/>
      <c r="NG26" s="2"/>
      <c r="NH26" s="2"/>
      <c r="NI26" s="2"/>
      <c r="NJ26" s="2"/>
      <c r="NK26" s="2"/>
      <c r="NL26" s="2"/>
      <c r="NM26" s="2"/>
      <c r="NN26" s="2"/>
      <c r="NO26" s="2"/>
      <c r="NP26" s="2"/>
      <c r="NQ26" s="2"/>
      <c r="NR26" s="2"/>
      <c r="NS26" s="2"/>
      <c r="NT26" s="2"/>
      <c r="NU26" s="2"/>
      <c r="NV26" s="2"/>
      <c r="NW26" s="2"/>
      <c r="NX26" s="2"/>
      <c r="NY26" s="2"/>
      <c r="NZ26" s="2"/>
      <c r="OA26" s="2"/>
      <c r="OB26" s="2"/>
      <c r="OC26" s="2"/>
      <c r="OD26" s="2"/>
      <c r="OE26" s="2"/>
      <c r="OF26" s="2"/>
      <c r="OG26" s="2"/>
      <c r="OH26" s="2"/>
      <c r="OI26" s="2"/>
      <c r="OJ26" s="2"/>
      <c r="OK26" s="2"/>
      <c r="OL26" s="2"/>
      <c r="OM26" s="2"/>
      <c r="ON26" s="2"/>
      <c r="OO26" s="2"/>
      <c r="OP26" s="2"/>
      <c r="OQ26" s="2"/>
      <c r="OR26" s="2"/>
      <c r="OS26" s="2"/>
      <c r="OT26" s="2"/>
      <c r="OU26" s="2"/>
      <c r="OV26" s="2"/>
      <c r="OW26" s="2"/>
      <c r="OX26" s="2"/>
      <c r="OY26" s="2"/>
      <c r="OZ26" s="2"/>
      <c r="PA26" s="2"/>
      <c r="PB26" s="2"/>
      <c r="PC26" s="2"/>
      <c r="PD26" s="2"/>
      <c r="PE26" s="2"/>
      <c r="PF26" s="2"/>
      <c r="PG26" s="2"/>
      <c r="PH26" s="2"/>
      <c r="PI26" s="2"/>
      <c r="PJ26" s="2"/>
      <c r="PK26" s="2"/>
      <c r="PL26" s="2"/>
      <c r="PM26" s="2"/>
      <c r="PN26" s="2"/>
      <c r="PO26" s="2"/>
      <c r="PP26" s="2"/>
      <c r="PQ26" s="2"/>
      <c r="PR26" s="2"/>
      <c r="PS26" s="2"/>
      <c r="PT26" s="2"/>
      <c r="PU26" s="2"/>
      <c r="PV26" s="2"/>
      <c r="PW26" s="2"/>
      <c r="PX26" s="2"/>
      <c r="PY26" s="2"/>
      <c r="PZ26" s="2"/>
      <c r="QA26" s="2"/>
      <c r="QB26" s="2"/>
      <c r="QC26" s="2"/>
      <c r="QD26" s="2"/>
      <c r="QE26" s="2"/>
      <c r="QF26" s="2"/>
      <c r="QG26" s="2"/>
      <c r="QH26" s="2"/>
      <c r="QI26" s="2"/>
      <c r="QJ26" s="2"/>
      <c r="QK26" s="2"/>
      <c r="QL26" s="2"/>
      <c r="QM26" s="2"/>
      <c r="QN26" s="2"/>
      <c r="QO26" s="2"/>
      <c r="QP26" s="2"/>
      <c r="QQ26" s="2"/>
      <c r="QR26" s="2"/>
      <c r="QS26" s="2"/>
      <c r="QT26" s="2"/>
      <c r="QU26" s="2"/>
      <c r="QV26" s="2"/>
      <c r="QW26" s="2"/>
      <c r="QX26" s="2"/>
      <c r="QY26" s="2"/>
      <c r="QZ26" s="2"/>
      <c r="RA26" s="2"/>
      <c r="RB26" s="2"/>
      <c r="RC26" s="2"/>
      <c r="RD26" s="2"/>
      <c r="RE26" s="2"/>
      <c r="RF26" s="2"/>
      <c r="RG26" s="2"/>
      <c r="RH26" s="2"/>
      <c r="RI26" s="2"/>
      <c r="RJ26" s="2"/>
      <c r="RK26" s="2"/>
      <c r="RL26" s="2"/>
      <c r="RM26" s="2"/>
      <c r="RN26" s="2"/>
      <c r="RO26" s="2"/>
      <c r="RP26" s="2"/>
      <c r="RQ26" s="2"/>
      <c r="RR26" s="2"/>
      <c r="RS26" s="2"/>
      <c r="RT26" s="2"/>
      <c r="RU26" s="2"/>
      <c r="RV26" s="2"/>
      <c r="RW26" s="2"/>
      <c r="RX26" s="2"/>
      <c r="RY26" s="2"/>
      <c r="RZ26" s="2"/>
      <c r="SA26" s="2"/>
      <c r="SB26" s="2"/>
      <c r="SC26" s="2"/>
      <c r="SD26" s="2"/>
      <c r="SE26" s="2"/>
      <c r="SF26" s="2"/>
      <c r="SG26" s="2"/>
      <c r="SH26" s="2"/>
      <c r="SI26" s="2"/>
      <c r="SJ26" s="2"/>
      <c r="SK26" s="2"/>
      <c r="SL26" s="2"/>
      <c r="SM26" s="2"/>
      <c r="SN26" s="2"/>
      <c r="SO26" s="2"/>
      <c r="SP26" s="2"/>
      <c r="SQ26" s="2"/>
      <c r="SR26" s="2"/>
      <c r="SS26" s="2"/>
      <c r="ST26" s="2"/>
      <c r="SU26" s="2"/>
      <c r="SV26" s="2"/>
      <c r="SW26" s="2"/>
      <c r="SX26" s="2"/>
      <c r="SY26" s="2"/>
      <c r="SZ26" s="2"/>
      <c r="TA26" s="2"/>
      <c r="TB26" s="2"/>
      <c r="TC26" s="2"/>
      <c r="TD26" s="2"/>
      <c r="TE26" s="2"/>
      <c r="TF26" s="2"/>
      <c r="TG26" s="2"/>
      <c r="TH26" s="2"/>
      <c r="TI26" s="2"/>
      <c r="TJ26" s="2"/>
      <c r="TK26" s="2"/>
      <c r="TL26" s="2"/>
      <c r="TM26" s="2"/>
      <c r="TN26" s="2"/>
      <c r="TO26" s="2"/>
      <c r="TP26" s="2"/>
      <c r="TQ26" s="2"/>
      <c r="TR26" s="2"/>
      <c r="TS26" s="2"/>
      <c r="TT26" s="2"/>
      <c r="TU26" s="2"/>
      <c r="TV26" s="2"/>
      <c r="TW26" s="2"/>
      <c r="TX26" s="2"/>
      <c r="TY26" s="2"/>
      <c r="TZ26" s="2"/>
      <c r="UA26" s="2"/>
      <c r="UB26" s="2"/>
      <c r="UC26" s="2"/>
      <c r="UD26" s="2"/>
      <c r="UE26" s="2"/>
      <c r="UF26" s="2"/>
      <c r="UG26" s="2"/>
      <c r="UH26" s="2"/>
      <c r="UI26" s="2"/>
      <c r="UJ26" s="2"/>
      <c r="UK26" s="2"/>
      <c r="UL26" s="2"/>
      <c r="UM26" s="2"/>
      <c r="UN26" s="2"/>
      <c r="UO26" s="2"/>
      <c r="UP26" s="2"/>
      <c r="UQ26" s="2"/>
      <c r="UR26" s="2"/>
      <c r="US26" s="2"/>
      <c r="UT26" s="2"/>
      <c r="UU26" s="2"/>
      <c r="UV26" s="2"/>
      <c r="UW26" s="2"/>
      <c r="UX26" s="2"/>
      <c r="UY26" s="2"/>
      <c r="UZ26" s="2"/>
      <c r="VA26" s="2"/>
      <c r="VB26" s="2"/>
      <c r="VC26" s="2"/>
      <c r="VD26" s="2"/>
      <c r="VE26" s="2"/>
      <c r="VF26" s="2"/>
      <c r="VG26" s="2"/>
      <c r="VH26" s="2"/>
      <c r="VI26" s="2"/>
      <c r="VJ26" s="2"/>
      <c r="VK26" s="2"/>
      <c r="VL26" s="2"/>
      <c r="VM26" s="2"/>
      <c r="VN26" s="2"/>
      <c r="VO26" s="2"/>
      <c r="VP26" s="2"/>
      <c r="VQ26" s="2"/>
      <c r="VR26" s="2"/>
      <c r="VS26" s="2"/>
      <c r="VT26" s="2"/>
      <c r="VU26" s="2"/>
      <c r="VV26" s="2"/>
      <c r="VW26" s="2"/>
      <c r="VX26" s="2"/>
      <c r="VY26" s="2"/>
      <c r="VZ26" s="2"/>
      <c r="WA26" s="2"/>
      <c r="WB26" s="2"/>
      <c r="WC26" s="2"/>
      <c r="WD26" s="2"/>
      <c r="WE26" s="2"/>
      <c r="WF26" s="2"/>
      <c r="WG26" s="2"/>
      <c r="WH26" s="2"/>
      <c r="WI26" s="2"/>
      <c r="WJ26" s="2"/>
      <c r="WK26" s="2"/>
      <c r="WL26" s="2"/>
      <c r="WM26" s="2"/>
      <c r="WN26" s="2"/>
      <c r="WO26" s="2"/>
      <c r="WP26" s="2"/>
      <c r="WQ26" s="2"/>
      <c r="WR26" s="2"/>
      <c r="WS26" s="2"/>
      <c r="WT26" s="2"/>
      <c r="WU26" s="2"/>
      <c r="WV26" s="2"/>
      <c r="WW26" s="2"/>
      <c r="WX26" s="2"/>
      <c r="WY26" s="2"/>
      <c r="WZ26" s="2"/>
      <c r="XA26" s="2"/>
      <c r="XB26" s="2"/>
      <c r="XC26" s="2"/>
      <c r="XD26" s="2"/>
      <c r="XE26" s="2"/>
      <c r="XF26" s="2"/>
      <c r="XG26" s="2"/>
      <c r="XH26" s="2"/>
      <c r="XI26" s="2"/>
      <c r="XJ26" s="2"/>
      <c r="XK26" s="2"/>
      <c r="XL26" s="2"/>
      <c r="XM26" s="2"/>
      <c r="XN26" s="2"/>
      <c r="XO26" s="2"/>
      <c r="XP26" s="2"/>
      <c r="XQ26" s="2"/>
      <c r="XR26" s="2"/>
      <c r="XS26" s="2"/>
      <c r="XT26" s="2"/>
      <c r="XU26" s="2"/>
      <c r="XV26" s="2"/>
      <c r="XW26" s="2"/>
      <c r="XX26" s="2"/>
      <c r="XY26" s="2"/>
      <c r="XZ26" s="2"/>
      <c r="YA26" s="2"/>
      <c r="YB26" s="2"/>
      <c r="YC26" s="2"/>
      <c r="YD26" s="2"/>
      <c r="YE26" s="2"/>
      <c r="YF26" s="2"/>
      <c r="YG26" s="2"/>
      <c r="YH26" s="2"/>
      <c r="YI26" s="2"/>
      <c r="YJ26" s="2"/>
      <c r="YK26" s="2"/>
      <c r="YL26" s="2"/>
      <c r="YM26" s="2"/>
      <c r="YN26" s="2"/>
      <c r="YO26" s="2"/>
      <c r="YP26" s="2"/>
      <c r="YQ26" s="2"/>
      <c r="YR26" s="2"/>
      <c r="YS26" s="2"/>
      <c r="YT26" s="2"/>
      <c r="YU26" s="2"/>
      <c r="YV26" s="2"/>
      <c r="YW26" s="2"/>
      <c r="YX26" s="2"/>
      <c r="YY26" s="2"/>
      <c r="YZ26" s="2"/>
      <c r="ZA26" s="2"/>
      <c r="ZB26" s="2"/>
      <c r="ZC26" s="2"/>
      <c r="ZD26" s="2"/>
      <c r="ZE26" s="2"/>
      <c r="ZF26" s="2"/>
      <c r="ZG26" s="2"/>
      <c r="ZH26" s="2"/>
      <c r="ZI26" s="2"/>
      <c r="ZJ26" s="2"/>
      <c r="ZK26" s="2"/>
      <c r="ZL26" s="2"/>
      <c r="ZM26" s="2"/>
      <c r="ZN26" s="2"/>
      <c r="ZO26" s="2"/>
      <c r="ZP26" s="2"/>
      <c r="ZQ26" s="2"/>
      <c r="ZR26" s="2"/>
      <c r="ZS26" s="2"/>
      <c r="ZT26" s="2"/>
      <c r="ZU26" s="2"/>
      <c r="ZV26" s="2"/>
      <c r="ZW26" s="2"/>
      <c r="ZX26" s="2"/>
      <c r="ZY26" s="2"/>
      <c r="ZZ26" s="2"/>
      <c r="AAA26" s="2"/>
      <c r="AAB26" s="2"/>
      <c r="AAC26" s="2"/>
      <c r="AAD26" s="2"/>
      <c r="AAE26" s="2"/>
      <c r="AAF26" s="2"/>
      <c r="AAG26" s="2"/>
      <c r="AAH26" s="2"/>
      <c r="AAI26" s="2"/>
      <c r="AAJ26" s="2"/>
      <c r="AAK26" s="2"/>
      <c r="AAL26" s="2"/>
      <c r="AAM26" s="2"/>
      <c r="AAN26" s="2"/>
      <c r="AAO26" s="2"/>
      <c r="AAP26" s="2"/>
      <c r="AAQ26" s="2"/>
      <c r="AAR26" s="2"/>
      <c r="AAS26" s="2"/>
      <c r="AAT26" s="2"/>
      <c r="AAU26" s="2"/>
      <c r="AAV26" s="2"/>
      <c r="AAW26" s="2"/>
      <c r="AAX26" s="2"/>
      <c r="AAY26" s="2"/>
      <c r="AAZ26" s="2"/>
      <c r="ABA26" s="2"/>
      <c r="ABB26" s="2"/>
      <c r="ABC26" s="2"/>
      <c r="ABD26" s="2"/>
      <c r="ABE26" s="2"/>
      <c r="ABF26" s="2"/>
      <c r="ABG26" s="2"/>
      <c r="ABH26" s="2"/>
      <c r="ABI26" s="2"/>
      <c r="ABJ26" s="2"/>
      <c r="ABK26" s="2"/>
      <c r="ABL26" s="2"/>
      <c r="ABM26" s="2"/>
      <c r="ABN26" s="2"/>
      <c r="ABO26" s="2"/>
      <c r="ABP26" s="2"/>
      <c r="ABQ26" s="2"/>
      <c r="ABR26" s="2"/>
      <c r="ABS26" s="2"/>
      <c r="ABT26" s="2"/>
      <c r="ABU26" s="2"/>
      <c r="ABV26" s="2"/>
      <c r="ABW26" s="2"/>
      <c r="ABX26" s="2"/>
      <c r="ABY26" s="2"/>
      <c r="ABZ26" s="2"/>
      <c r="ACA26" s="2"/>
      <c r="ACB26" s="2"/>
      <c r="ACC26" s="2"/>
      <c r="ACD26" s="2"/>
      <c r="ACE26" s="2"/>
      <c r="ACF26" s="2"/>
      <c r="ACG26" s="2"/>
      <c r="ACH26" s="2"/>
      <c r="ACI26" s="2"/>
      <c r="ACJ26" s="2"/>
      <c r="ACK26" s="2"/>
      <c r="ACL26" s="2"/>
      <c r="ACM26" s="2"/>
      <c r="ACN26" s="2"/>
      <c r="ACO26" s="2"/>
      <c r="ACP26" s="2"/>
      <c r="ACQ26" s="2"/>
      <c r="ACR26" s="2"/>
      <c r="ACS26" s="2"/>
      <c r="ACT26" s="2"/>
      <c r="ACU26" s="2"/>
      <c r="ACV26" s="2"/>
      <c r="ACW26" s="2"/>
      <c r="ACX26" s="2"/>
      <c r="ACY26" s="2"/>
      <c r="ACZ26" s="2"/>
      <c r="ADA26" s="2"/>
      <c r="ADB26" s="2"/>
      <c r="ADC26" s="2"/>
      <c r="ADD26" s="2"/>
      <c r="ADE26" s="2"/>
      <c r="ADF26" s="2"/>
      <c r="ADG26" s="2"/>
      <c r="ADH26" s="2"/>
      <c r="ADI26" s="2"/>
      <c r="ADJ26" s="2"/>
      <c r="ADK26" s="2"/>
      <c r="ADL26" s="2"/>
      <c r="ADM26" s="2"/>
      <c r="ADN26" s="2"/>
      <c r="ADO26" s="2"/>
      <c r="ADP26" s="2"/>
      <c r="ADQ26" s="2"/>
      <c r="ADR26" s="2"/>
      <c r="ADS26" s="2"/>
      <c r="ADT26" s="2"/>
      <c r="ADU26" s="2"/>
      <c r="ADV26" s="2"/>
      <c r="ADW26" s="2"/>
      <c r="ADX26" s="2"/>
      <c r="ADY26" s="2"/>
      <c r="ADZ26" s="2"/>
      <c r="AEA26" s="2"/>
      <c r="AEB26" s="2"/>
      <c r="AEC26" s="2"/>
      <c r="AED26" s="2"/>
      <c r="AEE26" s="2"/>
      <c r="AEF26" s="2"/>
      <c r="AEG26" s="2"/>
      <c r="AEH26" s="2"/>
      <c r="AEI26" s="2"/>
      <c r="AEJ26" s="2"/>
      <c r="AEK26" s="2"/>
      <c r="AEL26" s="2"/>
      <c r="AEM26" s="2"/>
      <c r="AEN26" s="2"/>
      <c r="AEO26" s="2"/>
      <c r="AEP26" s="2"/>
      <c r="AEQ26" s="2"/>
      <c r="AER26" s="2"/>
      <c r="AES26" s="2"/>
      <c r="AET26" s="2"/>
      <c r="AEU26" s="2"/>
      <c r="AEV26" s="2"/>
      <c r="AEW26" s="2"/>
      <c r="AEX26" s="2"/>
      <c r="AEY26" s="2"/>
      <c r="AEZ26" s="2"/>
      <c r="AFA26" s="2"/>
      <c r="AFB26" s="2"/>
      <c r="AFC26" s="2"/>
      <c r="AFD26" s="2"/>
      <c r="AFE26" s="2"/>
      <c r="AFF26" s="2"/>
      <c r="AFG26" s="2"/>
      <c r="AFH26" s="2"/>
      <c r="AFI26" s="2"/>
      <c r="AFJ26" s="2"/>
      <c r="AFK26" s="2"/>
      <c r="AFL26" s="2"/>
      <c r="AFM26" s="2"/>
      <c r="AFN26" s="2"/>
      <c r="AFO26" s="2"/>
      <c r="AFP26" s="2"/>
      <c r="AFQ26" s="2"/>
      <c r="AFR26" s="2"/>
      <c r="AFS26" s="2"/>
      <c r="AFT26" s="2"/>
      <c r="AFU26" s="2"/>
      <c r="AFV26" s="2"/>
      <c r="AFW26" s="2"/>
      <c r="AFX26" s="2"/>
      <c r="AFY26" s="2"/>
      <c r="AFZ26" s="2"/>
      <c r="AGA26" s="2"/>
      <c r="AGB26" s="2"/>
      <c r="AGC26" s="2"/>
      <c r="AGD26" s="2"/>
      <c r="AGE26" s="2"/>
      <c r="AGF26" s="2"/>
      <c r="AGG26" s="2"/>
      <c r="AGH26" s="2"/>
      <c r="AGI26" s="2"/>
      <c r="AGJ26" s="2"/>
      <c r="AGK26" s="2"/>
      <c r="AGL26" s="2"/>
      <c r="AGM26" s="2"/>
      <c r="AGN26" s="2"/>
      <c r="AGO26" s="2"/>
      <c r="AGP26" s="2"/>
      <c r="AGQ26" s="2"/>
      <c r="AGR26" s="2"/>
      <c r="AGS26" s="2"/>
      <c r="AGT26" s="2"/>
      <c r="AGU26" s="2"/>
      <c r="AGV26" s="2"/>
      <c r="AGW26" s="2"/>
      <c r="AGX26" s="2"/>
      <c r="AGY26" s="2"/>
      <c r="AGZ26" s="2"/>
      <c r="AHA26" s="2"/>
      <c r="AHB26" s="2"/>
      <c r="AHC26" s="2"/>
      <c r="AHD26" s="2"/>
      <c r="AHE26" s="2"/>
      <c r="AHF26" s="2"/>
      <c r="AHG26" s="2"/>
      <c r="AHH26" s="2"/>
      <c r="AHI26" s="2"/>
      <c r="AHJ26" s="2"/>
      <c r="AHK26" s="2"/>
      <c r="AHL26" s="2"/>
      <c r="AHM26" s="2"/>
      <c r="AHN26" s="2"/>
      <c r="AHO26" s="2"/>
      <c r="AHP26" s="2"/>
      <c r="AHQ26" s="2"/>
      <c r="AHR26" s="2"/>
      <c r="AHS26" s="2"/>
      <c r="AHT26" s="2"/>
      <c r="AHU26" s="2"/>
      <c r="AHV26" s="2"/>
      <c r="AHW26" s="2"/>
      <c r="AHX26" s="2"/>
      <c r="AHY26" s="2"/>
      <c r="AHZ26" s="2"/>
      <c r="AIA26" s="2"/>
      <c r="AIB26" s="2"/>
      <c r="AIC26" s="2"/>
      <c r="AID26" s="2"/>
      <c r="AIE26" s="2"/>
      <c r="AIF26" s="2"/>
      <c r="AIG26" s="2"/>
      <c r="AIH26" s="2"/>
      <c r="AII26" s="2"/>
      <c r="AIJ26" s="2"/>
      <c r="AIK26" s="2"/>
      <c r="AIL26" s="2"/>
      <c r="AIM26" s="2"/>
      <c r="AIN26" s="2"/>
      <c r="AIO26" s="2"/>
      <c r="AIP26" s="2"/>
      <c r="AIQ26" s="2"/>
      <c r="AIR26" s="2"/>
      <c r="AIS26" s="2"/>
      <c r="AIT26" s="2"/>
      <c r="AIU26" s="2"/>
      <c r="AIV26" s="2"/>
      <c r="AIW26" s="2"/>
      <c r="AIX26" s="2"/>
      <c r="AIY26" s="2"/>
      <c r="AIZ26" s="2"/>
      <c r="AJA26" s="2"/>
      <c r="AJB26" s="2"/>
      <c r="AJC26" s="2"/>
      <c r="AJD26" s="2"/>
      <c r="AJE26" s="2"/>
      <c r="AJF26" s="2"/>
      <c r="AJG26" s="2"/>
      <c r="AJH26" s="2"/>
      <c r="AJI26" s="2"/>
      <c r="AJJ26" s="2"/>
      <c r="AJK26" s="2"/>
      <c r="AJL26" s="2"/>
      <c r="AJM26" s="2"/>
      <c r="AJN26" s="2"/>
      <c r="AJO26" s="2"/>
      <c r="AJP26" s="2"/>
      <c r="AJQ26" s="2"/>
      <c r="AJR26" s="2"/>
      <c r="AJS26" s="2"/>
      <c r="AJT26" s="2"/>
      <c r="AJU26" s="2"/>
      <c r="AJV26" s="2"/>
      <c r="AJW26" s="2"/>
      <c r="AJX26" s="2"/>
      <c r="AJY26" s="2"/>
      <c r="AJZ26" s="2"/>
      <c r="AKA26" s="2"/>
    </row>
    <row r="27" spans="1:963">
      <c r="A27" s="7">
        <v>26</v>
      </c>
      <c r="B27" s="2">
        <v>3</v>
      </c>
      <c r="C27" s="7">
        <v>10.87</v>
      </c>
      <c r="D27" s="7">
        <v>7.52</v>
      </c>
      <c r="E27" s="7">
        <v>2.99</v>
      </c>
      <c r="F27" s="7">
        <v>0.26</v>
      </c>
      <c r="G27" s="7">
        <v>279</v>
      </c>
      <c r="H27" s="9">
        <f t="shared" si="3"/>
        <v>2.5150501672240799</v>
      </c>
      <c r="I27" s="9">
        <f t="shared" si="0"/>
        <v>8.6956521739130432E-2</v>
      </c>
      <c r="J27" s="9">
        <f t="shared" si="1"/>
        <v>93.311036789297646</v>
      </c>
      <c r="K27" s="9">
        <f t="shared" si="2"/>
        <v>701.69899665551827</v>
      </c>
      <c r="L27" s="16"/>
      <c r="M27" s="16"/>
      <c r="N27" s="16"/>
      <c r="O27" s="9">
        <v>10.87</v>
      </c>
      <c r="P27" s="9">
        <v>7.52</v>
      </c>
      <c r="Q27" s="9">
        <v>2.99</v>
      </c>
      <c r="R27" s="9">
        <v>0.26</v>
      </c>
      <c r="S27" s="9">
        <v>0.09</v>
      </c>
      <c r="T27" s="9">
        <v>0</v>
      </c>
      <c r="U27" s="9">
        <v>0.01</v>
      </c>
      <c r="V27" s="18">
        <v>6.62</v>
      </c>
      <c r="W27" s="18">
        <v>101</v>
      </c>
      <c r="X27" s="18">
        <v>0.28999999999999998</v>
      </c>
      <c r="Y27" s="9">
        <v>279</v>
      </c>
      <c r="Z27" s="18">
        <v>0.4</v>
      </c>
      <c r="AA27" s="18">
        <v>2.4E-2</v>
      </c>
      <c r="AB27" s="18">
        <v>144.1</v>
      </c>
      <c r="AC27" s="18">
        <v>3.08</v>
      </c>
      <c r="AD27" s="18">
        <v>96.3</v>
      </c>
      <c r="AE27" s="18"/>
      <c r="AF27" s="18"/>
      <c r="AG27" s="9">
        <v>33.409999999999997</v>
      </c>
      <c r="AH27" s="9">
        <v>298.05</v>
      </c>
      <c r="AI27" s="18">
        <v>10.74</v>
      </c>
      <c r="AJ27" s="18">
        <v>59.12</v>
      </c>
      <c r="AK27" s="18">
        <v>86.39</v>
      </c>
      <c r="AL27" s="18">
        <v>32.229999999999997</v>
      </c>
      <c r="AM27" s="26"/>
      <c r="AN27" s="26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  <c r="JC27" s="2"/>
      <c r="JD27" s="2"/>
      <c r="JE27" s="2"/>
      <c r="JF27" s="2"/>
      <c r="JG27" s="2"/>
      <c r="JH27" s="2"/>
      <c r="JI27" s="2"/>
      <c r="JJ27" s="2"/>
      <c r="JK27" s="2"/>
      <c r="JL27" s="2"/>
      <c r="JM27" s="2"/>
      <c r="JN27" s="2"/>
      <c r="JO27" s="2"/>
      <c r="JP27" s="2"/>
      <c r="JQ27" s="2"/>
      <c r="JR27" s="2"/>
      <c r="JS27" s="2"/>
      <c r="JT27" s="2"/>
      <c r="JU27" s="2"/>
      <c r="JV27" s="2"/>
      <c r="JW27" s="2"/>
      <c r="JX27" s="2"/>
      <c r="JY27" s="2"/>
      <c r="JZ27" s="2"/>
      <c r="KA27" s="2"/>
      <c r="KB27" s="2"/>
      <c r="KC27" s="2"/>
      <c r="KD27" s="2"/>
      <c r="KE27" s="2"/>
      <c r="KF27" s="2"/>
      <c r="KG27" s="2"/>
      <c r="KH27" s="2"/>
      <c r="KI27" s="2"/>
      <c r="KJ27" s="2"/>
      <c r="KK27" s="2"/>
      <c r="KL27" s="2"/>
      <c r="KM27" s="2"/>
      <c r="KN27" s="2"/>
      <c r="KO27" s="2"/>
      <c r="KP27" s="2"/>
      <c r="KQ27" s="2"/>
      <c r="KR27" s="2"/>
      <c r="KS27" s="2"/>
      <c r="KT27" s="2"/>
      <c r="KU27" s="2"/>
      <c r="KV27" s="2"/>
      <c r="KW27" s="2"/>
      <c r="KX27" s="2"/>
      <c r="KY27" s="2"/>
      <c r="KZ27" s="2"/>
      <c r="LA27" s="2"/>
      <c r="LB27" s="2"/>
      <c r="LC27" s="2"/>
      <c r="LD27" s="2"/>
      <c r="LE27" s="2"/>
      <c r="LF27" s="2"/>
      <c r="LG27" s="2"/>
      <c r="LH27" s="2"/>
      <c r="LI27" s="2"/>
      <c r="LJ27" s="2"/>
      <c r="LK27" s="2"/>
      <c r="LL27" s="2"/>
      <c r="LM27" s="2"/>
      <c r="LN27" s="2"/>
      <c r="LO27" s="2"/>
      <c r="LP27" s="2"/>
      <c r="LQ27" s="2"/>
      <c r="LR27" s="2"/>
      <c r="LS27" s="2"/>
      <c r="LT27" s="2"/>
      <c r="LU27" s="2"/>
      <c r="LV27" s="2"/>
      <c r="LW27" s="2"/>
      <c r="LX27" s="2"/>
      <c r="LY27" s="2"/>
      <c r="LZ27" s="2"/>
      <c r="MA27" s="2"/>
      <c r="MB27" s="2"/>
      <c r="MC27" s="2"/>
      <c r="MD27" s="2"/>
      <c r="ME27" s="2"/>
      <c r="MF27" s="2"/>
      <c r="MG27" s="2"/>
      <c r="MH27" s="2"/>
      <c r="MI27" s="2"/>
      <c r="MJ27" s="2"/>
      <c r="MK27" s="2"/>
      <c r="ML27" s="2"/>
      <c r="MM27" s="2"/>
      <c r="MN27" s="2"/>
      <c r="MO27" s="2"/>
      <c r="MP27" s="2"/>
      <c r="MQ27" s="2"/>
      <c r="MR27" s="2"/>
      <c r="MS27" s="2"/>
      <c r="MT27" s="2"/>
      <c r="MU27" s="2"/>
      <c r="MV27" s="2"/>
      <c r="MW27" s="2"/>
      <c r="MX27" s="2"/>
      <c r="MY27" s="2"/>
      <c r="MZ27" s="2"/>
      <c r="NA27" s="2"/>
      <c r="NB27" s="2"/>
      <c r="NC27" s="2"/>
      <c r="ND27" s="2"/>
      <c r="NE27" s="2"/>
      <c r="NF27" s="2"/>
      <c r="NG27" s="2"/>
      <c r="NH27" s="2"/>
      <c r="NI27" s="2"/>
      <c r="NJ27" s="2"/>
      <c r="NK27" s="2"/>
      <c r="NL27" s="2"/>
      <c r="NM27" s="2"/>
      <c r="NN27" s="2"/>
      <c r="NO27" s="2"/>
      <c r="NP27" s="2"/>
      <c r="NQ27" s="2"/>
      <c r="NR27" s="2"/>
      <c r="NS27" s="2"/>
      <c r="NT27" s="2"/>
      <c r="NU27" s="2"/>
      <c r="NV27" s="2"/>
      <c r="NW27" s="2"/>
      <c r="NX27" s="2"/>
      <c r="NY27" s="2"/>
      <c r="NZ27" s="2"/>
      <c r="OA27" s="2"/>
      <c r="OB27" s="2"/>
      <c r="OC27" s="2"/>
      <c r="OD27" s="2"/>
      <c r="OE27" s="2"/>
      <c r="OF27" s="2"/>
      <c r="OG27" s="2"/>
      <c r="OH27" s="2"/>
      <c r="OI27" s="2"/>
      <c r="OJ27" s="2"/>
      <c r="OK27" s="2"/>
      <c r="OL27" s="2"/>
      <c r="OM27" s="2"/>
      <c r="ON27" s="2"/>
      <c r="OO27" s="2"/>
      <c r="OP27" s="2"/>
      <c r="OQ27" s="2"/>
      <c r="OR27" s="2"/>
      <c r="OS27" s="2"/>
      <c r="OT27" s="2"/>
      <c r="OU27" s="2"/>
      <c r="OV27" s="2"/>
      <c r="OW27" s="2"/>
      <c r="OX27" s="2"/>
      <c r="OY27" s="2"/>
      <c r="OZ27" s="2"/>
      <c r="PA27" s="2"/>
      <c r="PB27" s="2"/>
      <c r="PC27" s="2"/>
      <c r="PD27" s="2"/>
      <c r="PE27" s="2"/>
      <c r="PF27" s="2"/>
      <c r="PG27" s="2"/>
      <c r="PH27" s="2"/>
      <c r="PI27" s="2"/>
      <c r="PJ27" s="2"/>
      <c r="PK27" s="2"/>
      <c r="PL27" s="2"/>
      <c r="PM27" s="2"/>
      <c r="PN27" s="2"/>
      <c r="PO27" s="2"/>
      <c r="PP27" s="2"/>
      <c r="PQ27" s="2"/>
      <c r="PR27" s="2"/>
      <c r="PS27" s="2"/>
      <c r="PT27" s="2"/>
      <c r="PU27" s="2"/>
      <c r="PV27" s="2"/>
      <c r="PW27" s="2"/>
      <c r="PX27" s="2"/>
      <c r="PY27" s="2"/>
      <c r="PZ27" s="2"/>
      <c r="QA27" s="2"/>
      <c r="QB27" s="2"/>
      <c r="QC27" s="2"/>
      <c r="QD27" s="2"/>
      <c r="QE27" s="2"/>
      <c r="QF27" s="2"/>
      <c r="QG27" s="2"/>
      <c r="QH27" s="2"/>
      <c r="QI27" s="2"/>
      <c r="QJ27" s="2"/>
      <c r="QK27" s="2"/>
      <c r="QL27" s="2"/>
      <c r="QM27" s="2"/>
      <c r="QN27" s="2"/>
      <c r="QO27" s="2"/>
      <c r="QP27" s="2"/>
      <c r="QQ27" s="2"/>
      <c r="QR27" s="2"/>
      <c r="QS27" s="2"/>
      <c r="QT27" s="2"/>
      <c r="QU27" s="2"/>
      <c r="QV27" s="2"/>
      <c r="QW27" s="2"/>
      <c r="QX27" s="2"/>
      <c r="QY27" s="2"/>
      <c r="QZ27" s="2"/>
      <c r="RA27" s="2"/>
      <c r="RB27" s="2"/>
      <c r="RC27" s="2"/>
      <c r="RD27" s="2"/>
      <c r="RE27" s="2"/>
      <c r="RF27" s="2"/>
      <c r="RG27" s="2"/>
      <c r="RH27" s="2"/>
      <c r="RI27" s="2"/>
      <c r="RJ27" s="2"/>
      <c r="RK27" s="2"/>
      <c r="RL27" s="2"/>
      <c r="RM27" s="2"/>
      <c r="RN27" s="2"/>
      <c r="RO27" s="2"/>
      <c r="RP27" s="2"/>
      <c r="RQ27" s="2"/>
      <c r="RR27" s="2"/>
      <c r="RS27" s="2"/>
      <c r="RT27" s="2"/>
      <c r="RU27" s="2"/>
      <c r="RV27" s="2"/>
      <c r="RW27" s="2"/>
      <c r="RX27" s="2"/>
      <c r="RY27" s="2"/>
      <c r="RZ27" s="2"/>
      <c r="SA27" s="2"/>
      <c r="SB27" s="2"/>
      <c r="SC27" s="2"/>
      <c r="SD27" s="2"/>
      <c r="SE27" s="2"/>
      <c r="SF27" s="2"/>
      <c r="SG27" s="2"/>
      <c r="SH27" s="2"/>
      <c r="SI27" s="2"/>
      <c r="SJ27" s="2"/>
      <c r="SK27" s="2"/>
      <c r="SL27" s="2"/>
      <c r="SM27" s="2"/>
      <c r="SN27" s="2"/>
      <c r="SO27" s="2"/>
      <c r="SP27" s="2"/>
      <c r="SQ27" s="2"/>
      <c r="SR27" s="2"/>
      <c r="SS27" s="2"/>
      <c r="ST27" s="2"/>
      <c r="SU27" s="2"/>
      <c r="SV27" s="2"/>
      <c r="SW27" s="2"/>
      <c r="SX27" s="2"/>
      <c r="SY27" s="2"/>
      <c r="SZ27" s="2"/>
      <c r="TA27" s="2"/>
      <c r="TB27" s="2"/>
      <c r="TC27" s="2"/>
      <c r="TD27" s="2"/>
      <c r="TE27" s="2"/>
      <c r="TF27" s="2"/>
      <c r="TG27" s="2"/>
      <c r="TH27" s="2"/>
      <c r="TI27" s="2"/>
      <c r="TJ27" s="2"/>
      <c r="TK27" s="2"/>
      <c r="TL27" s="2"/>
      <c r="TM27" s="2"/>
      <c r="TN27" s="2"/>
      <c r="TO27" s="2"/>
      <c r="TP27" s="2"/>
      <c r="TQ27" s="2"/>
      <c r="TR27" s="2"/>
      <c r="TS27" s="2"/>
      <c r="TT27" s="2"/>
      <c r="TU27" s="2"/>
      <c r="TV27" s="2"/>
      <c r="TW27" s="2"/>
      <c r="TX27" s="2"/>
      <c r="TY27" s="2"/>
      <c r="TZ27" s="2"/>
      <c r="UA27" s="2"/>
      <c r="UB27" s="2"/>
      <c r="UC27" s="2"/>
      <c r="UD27" s="2"/>
      <c r="UE27" s="2"/>
      <c r="UF27" s="2"/>
      <c r="UG27" s="2"/>
      <c r="UH27" s="2"/>
      <c r="UI27" s="2"/>
      <c r="UJ27" s="2"/>
      <c r="UK27" s="2"/>
      <c r="UL27" s="2"/>
      <c r="UM27" s="2"/>
      <c r="UN27" s="2"/>
      <c r="UO27" s="2"/>
      <c r="UP27" s="2"/>
      <c r="UQ27" s="2"/>
      <c r="UR27" s="2"/>
      <c r="US27" s="2"/>
      <c r="UT27" s="2"/>
      <c r="UU27" s="2"/>
      <c r="UV27" s="2"/>
      <c r="UW27" s="2"/>
      <c r="UX27" s="2"/>
      <c r="UY27" s="2"/>
      <c r="UZ27" s="2"/>
      <c r="VA27" s="2"/>
      <c r="VB27" s="2"/>
      <c r="VC27" s="2"/>
      <c r="VD27" s="2"/>
      <c r="VE27" s="2"/>
      <c r="VF27" s="2"/>
      <c r="VG27" s="2"/>
      <c r="VH27" s="2"/>
      <c r="VI27" s="2"/>
      <c r="VJ27" s="2"/>
      <c r="VK27" s="2"/>
      <c r="VL27" s="2"/>
      <c r="VM27" s="2"/>
      <c r="VN27" s="2"/>
      <c r="VO27" s="2"/>
      <c r="VP27" s="2"/>
      <c r="VQ27" s="2"/>
      <c r="VR27" s="2"/>
      <c r="VS27" s="2"/>
      <c r="VT27" s="2"/>
      <c r="VU27" s="2"/>
      <c r="VV27" s="2"/>
      <c r="VW27" s="2"/>
      <c r="VX27" s="2"/>
      <c r="VY27" s="2"/>
      <c r="VZ27" s="2"/>
      <c r="WA27" s="2"/>
      <c r="WB27" s="2"/>
      <c r="WC27" s="2"/>
      <c r="WD27" s="2"/>
      <c r="WE27" s="2"/>
      <c r="WF27" s="2"/>
      <c r="WG27" s="2"/>
      <c r="WH27" s="2"/>
      <c r="WI27" s="2"/>
      <c r="WJ27" s="2"/>
      <c r="WK27" s="2"/>
      <c r="WL27" s="2"/>
      <c r="WM27" s="2"/>
      <c r="WN27" s="2"/>
      <c r="WO27" s="2"/>
      <c r="WP27" s="2"/>
      <c r="WQ27" s="2"/>
      <c r="WR27" s="2"/>
      <c r="WS27" s="2"/>
      <c r="WT27" s="2"/>
      <c r="WU27" s="2"/>
      <c r="WV27" s="2"/>
      <c r="WW27" s="2"/>
      <c r="WX27" s="2"/>
      <c r="WY27" s="2"/>
      <c r="WZ27" s="2"/>
      <c r="XA27" s="2"/>
      <c r="XB27" s="2"/>
      <c r="XC27" s="2"/>
      <c r="XD27" s="2"/>
      <c r="XE27" s="2"/>
      <c r="XF27" s="2"/>
      <c r="XG27" s="2"/>
      <c r="XH27" s="2"/>
      <c r="XI27" s="2"/>
      <c r="XJ27" s="2"/>
      <c r="XK27" s="2"/>
      <c r="XL27" s="2"/>
      <c r="XM27" s="2"/>
      <c r="XN27" s="2"/>
      <c r="XO27" s="2"/>
      <c r="XP27" s="2"/>
      <c r="XQ27" s="2"/>
      <c r="XR27" s="2"/>
      <c r="XS27" s="2"/>
      <c r="XT27" s="2"/>
      <c r="XU27" s="2"/>
      <c r="XV27" s="2"/>
      <c r="XW27" s="2"/>
      <c r="XX27" s="2"/>
      <c r="XY27" s="2"/>
      <c r="XZ27" s="2"/>
      <c r="YA27" s="2"/>
      <c r="YB27" s="2"/>
      <c r="YC27" s="2"/>
      <c r="YD27" s="2"/>
      <c r="YE27" s="2"/>
      <c r="YF27" s="2"/>
      <c r="YG27" s="2"/>
      <c r="YH27" s="2"/>
      <c r="YI27" s="2"/>
      <c r="YJ27" s="2"/>
      <c r="YK27" s="2"/>
      <c r="YL27" s="2"/>
      <c r="YM27" s="2"/>
      <c r="YN27" s="2"/>
      <c r="YO27" s="2"/>
      <c r="YP27" s="2"/>
      <c r="YQ27" s="2"/>
      <c r="YR27" s="2"/>
      <c r="YS27" s="2"/>
      <c r="YT27" s="2"/>
      <c r="YU27" s="2"/>
      <c r="YV27" s="2"/>
      <c r="YW27" s="2"/>
      <c r="YX27" s="2"/>
      <c r="YY27" s="2"/>
      <c r="YZ27" s="2"/>
      <c r="ZA27" s="2"/>
      <c r="ZB27" s="2"/>
      <c r="ZC27" s="2"/>
      <c r="ZD27" s="2"/>
      <c r="ZE27" s="2"/>
      <c r="ZF27" s="2"/>
      <c r="ZG27" s="2"/>
      <c r="ZH27" s="2"/>
      <c r="ZI27" s="2"/>
      <c r="ZJ27" s="2"/>
      <c r="ZK27" s="2"/>
      <c r="ZL27" s="2"/>
      <c r="ZM27" s="2"/>
      <c r="ZN27" s="2"/>
      <c r="ZO27" s="2"/>
      <c r="ZP27" s="2"/>
      <c r="ZQ27" s="2"/>
      <c r="ZR27" s="2"/>
      <c r="ZS27" s="2"/>
      <c r="ZT27" s="2"/>
      <c r="ZU27" s="2"/>
      <c r="ZV27" s="2"/>
      <c r="ZW27" s="2"/>
      <c r="ZX27" s="2"/>
      <c r="ZY27" s="2"/>
      <c r="ZZ27" s="2"/>
      <c r="AAA27" s="2"/>
      <c r="AAB27" s="2"/>
      <c r="AAC27" s="2"/>
      <c r="AAD27" s="2"/>
      <c r="AAE27" s="2"/>
      <c r="AAF27" s="2"/>
      <c r="AAG27" s="2"/>
      <c r="AAH27" s="2"/>
      <c r="AAI27" s="2"/>
      <c r="AAJ27" s="2"/>
      <c r="AAK27" s="2"/>
      <c r="AAL27" s="2"/>
      <c r="AAM27" s="2"/>
      <c r="AAN27" s="2"/>
      <c r="AAO27" s="2"/>
      <c r="AAP27" s="2"/>
      <c r="AAQ27" s="2"/>
      <c r="AAR27" s="2"/>
      <c r="AAS27" s="2"/>
      <c r="AAT27" s="2"/>
      <c r="AAU27" s="2"/>
      <c r="AAV27" s="2"/>
      <c r="AAW27" s="2"/>
      <c r="AAX27" s="2"/>
      <c r="AAY27" s="2"/>
      <c r="AAZ27" s="2"/>
      <c r="ABA27" s="2"/>
      <c r="ABB27" s="2"/>
      <c r="ABC27" s="2"/>
      <c r="ABD27" s="2"/>
      <c r="ABE27" s="2"/>
      <c r="ABF27" s="2"/>
      <c r="ABG27" s="2"/>
      <c r="ABH27" s="2"/>
      <c r="ABI27" s="2"/>
      <c r="ABJ27" s="2"/>
      <c r="ABK27" s="2"/>
      <c r="ABL27" s="2"/>
      <c r="ABM27" s="2"/>
      <c r="ABN27" s="2"/>
      <c r="ABO27" s="2"/>
      <c r="ABP27" s="2"/>
      <c r="ABQ27" s="2"/>
      <c r="ABR27" s="2"/>
      <c r="ABS27" s="2"/>
      <c r="ABT27" s="2"/>
      <c r="ABU27" s="2"/>
      <c r="ABV27" s="2"/>
      <c r="ABW27" s="2"/>
      <c r="ABX27" s="2"/>
      <c r="ABY27" s="2"/>
      <c r="ABZ27" s="2"/>
      <c r="ACA27" s="2"/>
      <c r="ACB27" s="2"/>
      <c r="ACC27" s="2"/>
      <c r="ACD27" s="2"/>
      <c r="ACE27" s="2"/>
      <c r="ACF27" s="2"/>
      <c r="ACG27" s="2"/>
      <c r="ACH27" s="2"/>
      <c r="ACI27" s="2"/>
      <c r="ACJ27" s="2"/>
      <c r="ACK27" s="2"/>
      <c r="ACL27" s="2"/>
      <c r="ACM27" s="2"/>
      <c r="ACN27" s="2"/>
      <c r="ACO27" s="2"/>
      <c r="ACP27" s="2"/>
      <c r="ACQ27" s="2"/>
      <c r="ACR27" s="2"/>
      <c r="ACS27" s="2"/>
      <c r="ACT27" s="2"/>
      <c r="ACU27" s="2"/>
      <c r="ACV27" s="2"/>
      <c r="ACW27" s="2"/>
      <c r="ACX27" s="2"/>
      <c r="ACY27" s="2"/>
      <c r="ACZ27" s="2"/>
      <c r="ADA27" s="2"/>
      <c r="ADB27" s="2"/>
      <c r="ADC27" s="2"/>
      <c r="ADD27" s="2"/>
      <c r="ADE27" s="2"/>
      <c r="ADF27" s="2"/>
      <c r="ADG27" s="2"/>
      <c r="ADH27" s="2"/>
      <c r="ADI27" s="2"/>
      <c r="ADJ27" s="2"/>
      <c r="ADK27" s="2"/>
      <c r="ADL27" s="2"/>
      <c r="ADM27" s="2"/>
      <c r="ADN27" s="2"/>
      <c r="ADO27" s="2"/>
      <c r="ADP27" s="2"/>
      <c r="ADQ27" s="2"/>
      <c r="ADR27" s="2"/>
      <c r="ADS27" s="2"/>
      <c r="ADT27" s="2"/>
      <c r="ADU27" s="2"/>
      <c r="ADV27" s="2"/>
      <c r="ADW27" s="2"/>
      <c r="ADX27" s="2"/>
      <c r="ADY27" s="2"/>
      <c r="ADZ27" s="2"/>
      <c r="AEA27" s="2"/>
      <c r="AEB27" s="2"/>
      <c r="AEC27" s="2"/>
      <c r="AED27" s="2"/>
      <c r="AEE27" s="2"/>
      <c r="AEF27" s="2"/>
      <c r="AEG27" s="2"/>
      <c r="AEH27" s="2"/>
      <c r="AEI27" s="2"/>
      <c r="AEJ27" s="2"/>
      <c r="AEK27" s="2"/>
      <c r="AEL27" s="2"/>
      <c r="AEM27" s="2"/>
      <c r="AEN27" s="2"/>
      <c r="AEO27" s="2"/>
      <c r="AEP27" s="2"/>
      <c r="AEQ27" s="2"/>
      <c r="AER27" s="2"/>
      <c r="AES27" s="2"/>
      <c r="AET27" s="2"/>
      <c r="AEU27" s="2"/>
      <c r="AEV27" s="2"/>
      <c r="AEW27" s="2"/>
      <c r="AEX27" s="2"/>
      <c r="AEY27" s="2"/>
      <c r="AEZ27" s="2"/>
      <c r="AFA27" s="2"/>
      <c r="AFB27" s="2"/>
      <c r="AFC27" s="2"/>
      <c r="AFD27" s="2"/>
      <c r="AFE27" s="2"/>
      <c r="AFF27" s="2"/>
      <c r="AFG27" s="2"/>
      <c r="AFH27" s="2"/>
      <c r="AFI27" s="2"/>
      <c r="AFJ27" s="2"/>
      <c r="AFK27" s="2"/>
      <c r="AFL27" s="2"/>
      <c r="AFM27" s="2"/>
      <c r="AFN27" s="2"/>
      <c r="AFO27" s="2"/>
      <c r="AFP27" s="2"/>
      <c r="AFQ27" s="2"/>
      <c r="AFR27" s="2"/>
      <c r="AFS27" s="2"/>
      <c r="AFT27" s="2"/>
      <c r="AFU27" s="2"/>
      <c r="AFV27" s="2"/>
      <c r="AFW27" s="2"/>
      <c r="AFX27" s="2"/>
      <c r="AFY27" s="2"/>
      <c r="AFZ27" s="2"/>
      <c r="AGA27" s="2"/>
      <c r="AGB27" s="2"/>
      <c r="AGC27" s="2"/>
      <c r="AGD27" s="2"/>
      <c r="AGE27" s="2"/>
      <c r="AGF27" s="2"/>
      <c r="AGG27" s="2"/>
      <c r="AGH27" s="2"/>
      <c r="AGI27" s="2"/>
      <c r="AGJ27" s="2"/>
      <c r="AGK27" s="2"/>
      <c r="AGL27" s="2"/>
      <c r="AGM27" s="2"/>
      <c r="AGN27" s="2"/>
      <c r="AGO27" s="2"/>
      <c r="AGP27" s="2"/>
      <c r="AGQ27" s="2"/>
      <c r="AGR27" s="2"/>
      <c r="AGS27" s="2"/>
      <c r="AGT27" s="2"/>
      <c r="AGU27" s="2"/>
      <c r="AGV27" s="2"/>
      <c r="AGW27" s="2"/>
      <c r="AGX27" s="2"/>
      <c r="AGY27" s="2"/>
      <c r="AGZ27" s="2"/>
      <c r="AHA27" s="2"/>
      <c r="AHB27" s="2"/>
      <c r="AHC27" s="2"/>
      <c r="AHD27" s="2"/>
      <c r="AHE27" s="2"/>
      <c r="AHF27" s="2"/>
      <c r="AHG27" s="2"/>
      <c r="AHH27" s="2"/>
      <c r="AHI27" s="2"/>
      <c r="AHJ27" s="2"/>
      <c r="AHK27" s="2"/>
      <c r="AHL27" s="2"/>
      <c r="AHM27" s="2"/>
      <c r="AHN27" s="2"/>
      <c r="AHO27" s="2"/>
      <c r="AHP27" s="2"/>
      <c r="AHQ27" s="2"/>
      <c r="AHR27" s="2"/>
      <c r="AHS27" s="2"/>
      <c r="AHT27" s="2"/>
      <c r="AHU27" s="2"/>
      <c r="AHV27" s="2"/>
      <c r="AHW27" s="2"/>
      <c r="AHX27" s="2"/>
      <c r="AHY27" s="2"/>
      <c r="AHZ27" s="2"/>
      <c r="AIA27" s="2"/>
      <c r="AIB27" s="2"/>
      <c r="AIC27" s="2"/>
      <c r="AID27" s="2"/>
      <c r="AIE27" s="2"/>
      <c r="AIF27" s="2"/>
      <c r="AIG27" s="2"/>
      <c r="AIH27" s="2"/>
      <c r="AII27" s="2"/>
      <c r="AIJ27" s="2"/>
      <c r="AIK27" s="2"/>
      <c r="AIL27" s="2"/>
      <c r="AIM27" s="2"/>
      <c r="AIN27" s="2"/>
      <c r="AIO27" s="2"/>
      <c r="AIP27" s="2"/>
      <c r="AIQ27" s="2"/>
      <c r="AIR27" s="2"/>
      <c r="AIS27" s="2"/>
      <c r="AIT27" s="2"/>
      <c r="AIU27" s="2"/>
      <c r="AIV27" s="2"/>
      <c r="AIW27" s="2"/>
      <c r="AIX27" s="2"/>
      <c r="AIY27" s="2"/>
      <c r="AIZ27" s="2"/>
      <c r="AJA27" s="2"/>
      <c r="AJB27" s="2"/>
      <c r="AJC27" s="2"/>
      <c r="AJD27" s="2"/>
      <c r="AJE27" s="2"/>
      <c r="AJF27" s="2"/>
      <c r="AJG27" s="2"/>
      <c r="AJH27" s="2"/>
      <c r="AJI27" s="2"/>
      <c r="AJJ27" s="2"/>
      <c r="AJK27" s="2"/>
      <c r="AJL27" s="2"/>
      <c r="AJM27" s="2"/>
      <c r="AJN27" s="2"/>
      <c r="AJO27" s="2"/>
      <c r="AJP27" s="2"/>
      <c r="AJQ27" s="2"/>
      <c r="AJR27" s="2"/>
      <c r="AJS27" s="2"/>
      <c r="AJT27" s="2"/>
      <c r="AJU27" s="2"/>
      <c r="AJV27" s="2"/>
      <c r="AJW27" s="2"/>
      <c r="AJX27" s="2"/>
      <c r="AJY27" s="2"/>
      <c r="AJZ27" s="2"/>
      <c r="AKA27" s="2"/>
    </row>
    <row r="28" spans="1:963"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4"/>
      <c r="AN28" s="4"/>
    </row>
    <row r="29" spans="1:963"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4"/>
      <c r="AN29" s="4"/>
    </row>
    <row r="30" spans="1:963"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4"/>
      <c r="AN30" s="4"/>
    </row>
    <row r="31" spans="1:963"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  <c r="JC31" s="2"/>
      <c r="JD31" s="2"/>
      <c r="JE31" s="2"/>
      <c r="JF31" s="2"/>
      <c r="JG31" s="2"/>
      <c r="JH31" s="2"/>
      <c r="JI31" s="2"/>
      <c r="JJ31" s="2"/>
      <c r="JK31" s="2"/>
      <c r="JL31" s="2"/>
      <c r="JM31" s="2"/>
      <c r="JN31" s="2"/>
      <c r="JO31" s="2"/>
      <c r="JP31" s="2"/>
      <c r="JQ31" s="2"/>
      <c r="JR31" s="2"/>
      <c r="JS31" s="2"/>
      <c r="JT31" s="2"/>
      <c r="JU31" s="2"/>
      <c r="JV31" s="2"/>
      <c r="JW31" s="2"/>
      <c r="JX31" s="2"/>
      <c r="JY31" s="2"/>
      <c r="JZ31" s="2"/>
      <c r="KA31" s="2"/>
      <c r="KB31" s="2"/>
      <c r="KC31" s="2"/>
      <c r="KD31" s="2"/>
      <c r="KE31" s="2"/>
      <c r="KF31" s="2"/>
      <c r="KG31" s="2"/>
      <c r="KH31" s="2"/>
      <c r="KI31" s="2"/>
      <c r="KJ31" s="2"/>
      <c r="KK31" s="2"/>
      <c r="KL31" s="2"/>
      <c r="KM31" s="2"/>
      <c r="KN31" s="2"/>
      <c r="KO31" s="2"/>
      <c r="KP31" s="2"/>
      <c r="KQ31" s="2"/>
      <c r="KR31" s="2"/>
      <c r="KS31" s="2"/>
      <c r="KT31" s="2"/>
      <c r="KU31" s="2"/>
      <c r="KV31" s="2"/>
      <c r="KW31" s="2"/>
      <c r="KX31" s="2"/>
      <c r="KY31" s="2"/>
      <c r="KZ31" s="2"/>
      <c r="LA31" s="2"/>
      <c r="LB31" s="2"/>
      <c r="LC31" s="2"/>
      <c r="LD31" s="2"/>
      <c r="LE31" s="2"/>
      <c r="LF31" s="2"/>
      <c r="LG31" s="2"/>
      <c r="LH31" s="2"/>
      <c r="LI31" s="2"/>
      <c r="LJ31" s="2"/>
      <c r="LK31" s="2"/>
      <c r="LL31" s="2"/>
      <c r="LM31" s="2"/>
      <c r="LN31" s="2"/>
      <c r="LO31" s="2"/>
      <c r="LP31" s="2"/>
      <c r="LQ31" s="2"/>
      <c r="LR31" s="2"/>
      <c r="LS31" s="2"/>
      <c r="LT31" s="2"/>
      <c r="LU31" s="2"/>
      <c r="LV31" s="2"/>
      <c r="LW31" s="2"/>
      <c r="LX31" s="2"/>
      <c r="LY31" s="2"/>
      <c r="LZ31" s="2"/>
      <c r="MA31" s="2"/>
      <c r="MB31" s="2"/>
      <c r="MC31" s="2"/>
      <c r="MD31" s="2"/>
      <c r="ME31" s="2"/>
      <c r="MF31" s="2"/>
      <c r="MG31" s="2"/>
      <c r="MH31" s="2"/>
      <c r="MI31" s="2"/>
      <c r="MJ31" s="2"/>
      <c r="MK31" s="2"/>
      <c r="ML31" s="2"/>
      <c r="MM31" s="2"/>
      <c r="MN31" s="2"/>
      <c r="MO31" s="2"/>
      <c r="MP31" s="2"/>
      <c r="MQ31" s="2"/>
      <c r="MR31" s="2"/>
      <c r="MS31" s="2"/>
      <c r="MT31" s="2"/>
      <c r="MU31" s="2"/>
      <c r="MV31" s="2"/>
      <c r="MW31" s="2"/>
      <c r="MX31" s="2"/>
      <c r="MY31" s="2"/>
      <c r="MZ31" s="2"/>
      <c r="NA31" s="2"/>
      <c r="NB31" s="2"/>
      <c r="NC31" s="2"/>
      <c r="ND31" s="2"/>
      <c r="NE31" s="2"/>
      <c r="NF31" s="2"/>
      <c r="NG31" s="2"/>
      <c r="NH31" s="2"/>
      <c r="NI31" s="2"/>
      <c r="NJ31" s="2"/>
      <c r="NK31" s="2"/>
      <c r="NL31" s="2"/>
      <c r="NM31" s="2"/>
      <c r="NN31" s="2"/>
      <c r="NO31" s="2"/>
      <c r="NP31" s="2"/>
      <c r="NQ31" s="2"/>
      <c r="NR31" s="2"/>
      <c r="NS31" s="2"/>
      <c r="NT31" s="2"/>
      <c r="NU31" s="2"/>
      <c r="NV31" s="2"/>
      <c r="NW31" s="2"/>
      <c r="NX31" s="2"/>
      <c r="NY31" s="2"/>
      <c r="NZ31" s="2"/>
      <c r="OA31" s="2"/>
      <c r="OB31" s="2"/>
      <c r="OC31" s="2"/>
      <c r="OD31" s="2"/>
      <c r="OE31" s="2"/>
      <c r="OF31" s="2"/>
      <c r="OG31" s="2"/>
      <c r="OH31" s="2"/>
      <c r="OI31" s="2"/>
      <c r="OJ31" s="2"/>
      <c r="OK31" s="2"/>
      <c r="OL31" s="2"/>
      <c r="OM31" s="2"/>
      <c r="ON31" s="2"/>
      <c r="OO31" s="2"/>
      <c r="OP31" s="2"/>
      <c r="OQ31" s="2"/>
      <c r="OR31" s="2"/>
      <c r="OS31" s="2"/>
      <c r="OT31" s="2"/>
      <c r="OU31" s="2"/>
      <c r="OV31" s="2"/>
      <c r="OW31" s="2"/>
      <c r="OX31" s="2"/>
      <c r="OY31" s="2"/>
      <c r="OZ31" s="2"/>
      <c r="PA31" s="2"/>
      <c r="PB31" s="2"/>
      <c r="PC31" s="2"/>
      <c r="PD31" s="2"/>
      <c r="PE31" s="2"/>
      <c r="PF31" s="2"/>
      <c r="PG31" s="2"/>
      <c r="PH31" s="2"/>
      <c r="PI31" s="2"/>
      <c r="PJ31" s="2"/>
      <c r="PK31" s="2"/>
      <c r="PL31" s="2"/>
      <c r="PM31" s="2"/>
      <c r="PN31" s="2"/>
      <c r="PO31" s="2"/>
      <c r="PP31" s="2"/>
      <c r="PQ31" s="2"/>
      <c r="PR31" s="2"/>
      <c r="PS31" s="2"/>
      <c r="PT31" s="2"/>
      <c r="PU31" s="2"/>
      <c r="PV31" s="2"/>
      <c r="PW31" s="2"/>
      <c r="PX31" s="2"/>
      <c r="PY31" s="2"/>
      <c r="PZ31" s="2"/>
      <c r="QA31" s="2"/>
      <c r="QB31" s="2"/>
      <c r="QC31" s="2"/>
      <c r="QD31" s="2"/>
      <c r="QE31" s="2"/>
      <c r="QF31" s="2"/>
      <c r="QG31" s="2"/>
      <c r="QH31" s="2"/>
      <c r="QI31" s="2"/>
      <c r="QJ31" s="2"/>
      <c r="QK31" s="2"/>
      <c r="QL31" s="2"/>
      <c r="QM31" s="2"/>
      <c r="QN31" s="2"/>
      <c r="QO31" s="2"/>
      <c r="QP31" s="2"/>
      <c r="QQ31" s="2"/>
      <c r="QR31" s="2"/>
      <c r="QS31" s="2"/>
      <c r="QT31" s="2"/>
      <c r="QU31" s="2"/>
      <c r="QV31" s="2"/>
      <c r="QW31" s="2"/>
      <c r="QX31" s="2"/>
      <c r="QY31" s="2"/>
      <c r="QZ31" s="2"/>
      <c r="RA31" s="2"/>
      <c r="RB31" s="2"/>
      <c r="RC31" s="2"/>
      <c r="RD31" s="2"/>
      <c r="RE31" s="2"/>
      <c r="RF31" s="2"/>
      <c r="RG31" s="2"/>
      <c r="RH31" s="2"/>
      <c r="RI31" s="2"/>
      <c r="RJ31" s="2"/>
      <c r="RK31" s="2"/>
      <c r="RL31" s="2"/>
      <c r="RM31" s="2"/>
      <c r="RN31" s="2"/>
      <c r="RO31" s="2"/>
      <c r="RP31" s="2"/>
      <c r="RQ31" s="2"/>
      <c r="RR31" s="2"/>
      <c r="RS31" s="2"/>
      <c r="RT31" s="2"/>
      <c r="RU31" s="2"/>
      <c r="RV31" s="2"/>
      <c r="RW31" s="2"/>
      <c r="RX31" s="2"/>
      <c r="RY31" s="2"/>
      <c r="RZ31" s="2"/>
      <c r="SA31" s="2"/>
      <c r="SB31" s="2"/>
      <c r="SC31" s="2"/>
      <c r="SD31" s="2"/>
      <c r="SE31" s="2"/>
      <c r="SF31" s="2"/>
      <c r="SG31" s="2"/>
      <c r="SH31" s="2"/>
      <c r="SI31" s="2"/>
      <c r="SJ31" s="2"/>
      <c r="SK31" s="2"/>
      <c r="SL31" s="2"/>
      <c r="SM31" s="2"/>
      <c r="SN31" s="2"/>
      <c r="SO31" s="2"/>
      <c r="SP31" s="2"/>
      <c r="SQ31" s="2"/>
      <c r="SR31" s="2"/>
      <c r="SS31" s="2"/>
      <c r="ST31" s="2"/>
      <c r="SU31" s="2"/>
      <c r="SV31" s="2"/>
      <c r="SW31" s="2"/>
      <c r="SX31" s="2"/>
      <c r="SY31" s="2"/>
      <c r="SZ31" s="2"/>
      <c r="TA31" s="2"/>
      <c r="TB31" s="2"/>
      <c r="TC31" s="2"/>
      <c r="TD31" s="2"/>
      <c r="TE31" s="2"/>
      <c r="TF31" s="2"/>
      <c r="TG31" s="2"/>
      <c r="TH31" s="2"/>
      <c r="TI31" s="2"/>
      <c r="TJ31" s="2"/>
      <c r="TK31" s="2"/>
      <c r="TL31" s="2"/>
      <c r="TM31" s="2"/>
      <c r="TN31" s="2"/>
      <c r="TO31" s="2"/>
      <c r="TP31" s="2"/>
      <c r="TQ31" s="2"/>
      <c r="TR31" s="2"/>
      <c r="TS31" s="2"/>
      <c r="TT31" s="2"/>
      <c r="TU31" s="2"/>
      <c r="TV31" s="2"/>
      <c r="TW31" s="2"/>
      <c r="TX31" s="2"/>
      <c r="TY31" s="2"/>
      <c r="TZ31" s="2"/>
      <c r="UA31" s="2"/>
      <c r="UB31" s="2"/>
      <c r="UC31" s="2"/>
      <c r="UD31" s="2"/>
      <c r="UE31" s="2"/>
      <c r="UF31" s="2"/>
      <c r="UG31" s="2"/>
      <c r="UH31" s="2"/>
      <c r="UI31" s="2"/>
      <c r="UJ31" s="2"/>
      <c r="UK31" s="2"/>
      <c r="UL31" s="2"/>
      <c r="UM31" s="2"/>
      <c r="UN31" s="2"/>
      <c r="UO31" s="2"/>
      <c r="UP31" s="2"/>
      <c r="UQ31" s="2"/>
      <c r="UR31" s="2"/>
      <c r="US31" s="2"/>
      <c r="UT31" s="2"/>
      <c r="UU31" s="2"/>
      <c r="UV31" s="2"/>
      <c r="UW31" s="2"/>
      <c r="UX31" s="2"/>
      <c r="UY31" s="2"/>
      <c r="UZ31" s="2"/>
      <c r="VA31" s="2"/>
      <c r="VB31" s="2"/>
      <c r="VC31" s="2"/>
      <c r="VD31" s="2"/>
      <c r="VE31" s="2"/>
      <c r="VF31" s="2"/>
      <c r="VG31" s="2"/>
      <c r="VH31" s="2"/>
      <c r="VI31" s="2"/>
      <c r="VJ31" s="2"/>
      <c r="VK31" s="2"/>
      <c r="VL31" s="2"/>
      <c r="VM31" s="2"/>
      <c r="VN31" s="2"/>
      <c r="VO31" s="2"/>
      <c r="VP31" s="2"/>
      <c r="VQ31" s="2"/>
      <c r="VR31" s="2"/>
      <c r="VS31" s="2"/>
      <c r="VT31" s="2"/>
      <c r="VU31" s="2"/>
      <c r="VV31" s="2"/>
      <c r="VW31" s="2"/>
      <c r="VX31" s="2"/>
      <c r="VY31" s="2"/>
      <c r="VZ31" s="2"/>
      <c r="WA31" s="2"/>
      <c r="WB31" s="2"/>
      <c r="WC31" s="2"/>
      <c r="WD31" s="2"/>
      <c r="WE31" s="2"/>
      <c r="WF31" s="2"/>
      <c r="WG31" s="2"/>
      <c r="WH31" s="2"/>
      <c r="WI31" s="2"/>
      <c r="WJ31" s="2"/>
      <c r="WK31" s="2"/>
      <c r="WL31" s="2"/>
      <c r="WM31" s="2"/>
      <c r="WN31" s="2"/>
      <c r="WO31" s="2"/>
      <c r="WP31" s="2"/>
      <c r="WQ31" s="2"/>
      <c r="WR31" s="2"/>
      <c r="WS31" s="2"/>
      <c r="WT31" s="2"/>
      <c r="WU31" s="2"/>
      <c r="WV31" s="2"/>
      <c r="WW31" s="2"/>
      <c r="WX31" s="2"/>
      <c r="WY31" s="2"/>
      <c r="WZ31" s="2"/>
      <c r="XA31" s="2"/>
      <c r="XB31" s="2"/>
      <c r="XC31" s="2"/>
      <c r="XD31" s="2"/>
      <c r="XE31" s="2"/>
      <c r="XF31" s="2"/>
      <c r="XG31" s="2"/>
      <c r="XH31" s="2"/>
      <c r="XI31" s="2"/>
      <c r="XJ31" s="2"/>
      <c r="XK31" s="2"/>
      <c r="XL31" s="2"/>
      <c r="XM31" s="2"/>
      <c r="XN31" s="2"/>
      <c r="XO31" s="2"/>
      <c r="XP31" s="2"/>
      <c r="XQ31" s="2"/>
      <c r="XR31" s="2"/>
      <c r="XS31" s="2"/>
      <c r="XT31" s="2"/>
      <c r="XU31" s="2"/>
      <c r="XV31" s="2"/>
      <c r="XW31" s="2"/>
      <c r="XX31" s="2"/>
      <c r="XY31" s="2"/>
      <c r="XZ31" s="2"/>
      <c r="YA31" s="2"/>
      <c r="YB31" s="2"/>
      <c r="YC31" s="2"/>
      <c r="YD31" s="2"/>
      <c r="YE31" s="2"/>
      <c r="YF31" s="2"/>
      <c r="YG31" s="2"/>
      <c r="YH31" s="2"/>
      <c r="YI31" s="2"/>
      <c r="YJ31" s="2"/>
      <c r="YK31" s="2"/>
      <c r="YL31" s="2"/>
      <c r="YM31" s="2"/>
      <c r="YN31" s="2"/>
      <c r="YO31" s="2"/>
      <c r="YP31" s="2"/>
      <c r="YQ31" s="2"/>
      <c r="YR31" s="2"/>
      <c r="YS31" s="2"/>
      <c r="YT31" s="2"/>
      <c r="YU31" s="2"/>
      <c r="YV31" s="2"/>
      <c r="YW31" s="2"/>
      <c r="YX31" s="2"/>
      <c r="YY31" s="2"/>
      <c r="YZ31" s="2"/>
      <c r="ZA31" s="2"/>
      <c r="ZB31" s="2"/>
      <c r="ZC31" s="2"/>
      <c r="ZD31" s="2"/>
      <c r="ZE31" s="2"/>
      <c r="ZF31" s="2"/>
      <c r="ZG31" s="2"/>
      <c r="ZH31" s="2"/>
      <c r="ZI31" s="2"/>
      <c r="ZJ31" s="2"/>
      <c r="ZK31" s="2"/>
      <c r="ZL31" s="2"/>
      <c r="ZM31" s="2"/>
      <c r="ZN31" s="2"/>
      <c r="ZO31" s="2"/>
      <c r="ZP31" s="2"/>
      <c r="ZQ31" s="2"/>
      <c r="ZR31" s="2"/>
      <c r="ZS31" s="2"/>
      <c r="ZT31" s="2"/>
      <c r="ZU31" s="2"/>
      <c r="ZV31" s="2"/>
      <c r="ZW31" s="2"/>
      <c r="ZX31" s="2"/>
      <c r="ZY31" s="2"/>
      <c r="ZZ31" s="2"/>
      <c r="AAA31" s="2"/>
      <c r="AAB31" s="2"/>
      <c r="AAC31" s="2"/>
      <c r="AAD31" s="2"/>
      <c r="AAE31" s="2"/>
      <c r="AAF31" s="2"/>
      <c r="AAG31" s="2"/>
      <c r="AAH31" s="2"/>
      <c r="AAI31" s="2"/>
      <c r="AAJ31" s="2"/>
      <c r="AAK31" s="2"/>
      <c r="AAL31" s="2"/>
      <c r="AAM31" s="2"/>
      <c r="AAN31" s="2"/>
      <c r="AAO31" s="2"/>
      <c r="AAP31" s="2"/>
      <c r="AAQ31" s="2"/>
      <c r="AAR31" s="2"/>
      <c r="AAS31" s="2"/>
      <c r="AAT31" s="2"/>
      <c r="AAU31" s="2"/>
      <c r="AAV31" s="2"/>
      <c r="AAW31" s="2"/>
      <c r="AAX31" s="2"/>
      <c r="AAY31" s="2"/>
      <c r="AAZ31" s="2"/>
      <c r="ABA31" s="2"/>
      <c r="ABB31" s="2"/>
      <c r="ABC31" s="2"/>
      <c r="ABD31" s="2"/>
      <c r="ABE31" s="2"/>
      <c r="ABF31" s="2"/>
      <c r="ABG31" s="2"/>
      <c r="ABH31" s="2"/>
      <c r="ABI31" s="2"/>
      <c r="ABJ31" s="2"/>
      <c r="ABK31" s="2"/>
      <c r="ABL31" s="2"/>
      <c r="ABM31" s="2"/>
      <c r="ABN31" s="2"/>
      <c r="ABO31" s="2"/>
      <c r="ABP31" s="2"/>
      <c r="ABQ31" s="2"/>
      <c r="ABR31" s="2"/>
      <c r="ABS31" s="2"/>
      <c r="ABT31" s="2"/>
      <c r="ABU31" s="2"/>
      <c r="ABV31" s="2"/>
      <c r="ABW31" s="2"/>
      <c r="ABX31" s="2"/>
      <c r="ABY31" s="2"/>
      <c r="ABZ31" s="2"/>
      <c r="ACA31" s="2"/>
      <c r="ACB31" s="2"/>
      <c r="ACC31" s="2"/>
      <c r="ACD31" s="2"/>
      <c r="ACE31" s="2"/>
      <c r="ACF31" s="2"/>
      <c r="ACG31" s="2"/>
      <c r="ACH31" s="2"/>
      <c r="ACI31" s="2"/>
      <c r="ACJ31" s="2"/>
      <c r="ACK31" s="2"/>
      <c r="ACL31" s="2"/>
      <c r="ACM31" s="2"/>
      <c r="ACN31" s="2"/>
      <c r="ACO31" s="2"/>
      <c r="ACP31" s="2"/>
      <c r="ACQ31" s="2"/>
      <c r="ACR31" s="2"/>
      <c r="ACS31" s="2"/>
      <c r="ACT31" s="2"/>
      <c r="ACU31" s="2"/>
      <c r="ACV31" s="2"/>
      <c r="ACW31" s="2"/>
      <c r="ACX31" s="2"/>
      <c r="ACY31" s="2"/>
      <c r="ACZ31" s="2"/>
      <c r="ADA31" s="2"/>
      <c r="ADB31" s="2"/>
      <c r="ADC31" s="2"/>
      <c r="ADD31" s="2"/>
      <c r="ADE31" s="2"/>
      <c r="ADF31" s="2"/>
      <c r="ADG31" s="2"/>
      <c r="ADH31" s="2"/>
      <c r="ADI31" s="2"/>
      <c r="ADJ31" s="2"/>
      <c r="ADK31" s="2"/>
      <c r="ADL31" s="2"/>
      <c r="ADM31" s="2"/>
      <c r="ADN31" s="2"/>
      <c r="ADO31" s="2"/>
      <c r="ADP31" s="2"/>
      <c r="ADQ31" s="2"/>
      <c r="ADR31" s="2"/>
      <c r="ADS31" s="2"/>
      <c r="ADT31" s="2"/>
      <c r="ADU31" s="2"/>
      <c r="ADV31" s="2"/>
      <c r="ADW31" s="2"/>
      <c r="ADX31" s="2"/>
      <c r="ADY31" s="2"/>
      <c r="ADZ31" s="2"/>
      <c r="AEA31" s="2"/>
      <c r="AEB31" s="2"/>
      <c r="AEC31" s="2"/>
      <c r="AED31" s="2"/>
      <c r="AEE31" s="2"/>
      <c r="AEF31" s="2"/>
      <c r="AEG31" s="2"/>
      <c r="AEH31" s="2"/>
      <c r="AEI31" s="2"/>
      <c r="AEJ31" s="2"/>
      <c r="AEK31" s="2"/>
      <c r="AEL31" s="2"/>
      <c r="AEM31" s="2"/>
      <c r="AEN31" s="2"/>
      <c r="AEO31" s="2"/>
      <c r="AEP31" s="2"/>
      <c r="AEQ31" s="2"/>
      <c r="AER31" s="2"/>
      <c r="AES31" s="2"/>
      <c r="AET31" s="2"/>
      <c r="AEU31" s="2"/>
      <c r="AEV31" s="2"/>
      <c r="AEW31" s="2"/>
      <c r="AEX31" s="2"/>
      <c r="AEY31" s="2"/>
      <c r="AEZ31" s="2"/>
      <c r="AFA31" s="2"/>
      <c r="AFB31" s="2"/>
      <c r="AFC31" s="2"/>
      <c r="AFD31" s="2"/>
      <c r="AFE31" s="2"/>
      <c r="AFF31" s="2"/>
      <c r="AFG31" s="2"/>
      <c r="AFH31" s="2"/>
      <c r="AFI31" s="2"/>
      <c r="AFJ31" s="2"/>
      <c r="AFK31" s="2"/>
      <c r="AFL31" s="2"/>
      <c r="AFM31" s="2"/>
      <c r="AFN31" s="2"/>
      <c r="AFO31" s="2"/>
      <c r="AFP31" s="2"/>
      <c r="AFQ31" s="2"/>
      <c r="AFR31" s="2"/>
      <c r="AFS31" s="2"/>
      <c r="AFT31" s="2"/>
      <c r="AFU31" s="2"/>
      <c r="AFV31" s="2"/>
      <c r="AFW31" s="2"/>
      <c r="AFX31" s="2"/>
      <c r="AFY31" s="2"/>
      <c r="AFZ31" s="2"/>
      <c r="AGA31" s="2"/>
      <c r="AGB31" s="2"/>
      <c r="AGC31" s="2"/>
      <c r="AGD31" s="2"/>
      <c r="AGE31" s="2"/>
      <c r="AGF31" s="2"/>
      <c r="AGG31" s="2"/>
      <c r="AGH31" s="2"/>
      <c r="AGI31" s="2"/>
      <c r="AGJ31" s="2"/>
      <c r="AGK31" s="2"/>
      <c r="AGL31" s="2"/>
      <c r="AGM31" s="2"/>
      <c r="AGN31" s="2"/>
      <c r="AGO31" s="2"/>
      <c r="AGP31" s="2"/>
      <c r="AGQ31" s="2"/>
      <c r="AGR31" s="2"/>
      <c r="AGS31" s="2"/>
      <c r="AGT31" s="2"/>
      <c r="AGU31" s="2"/>
      <c r="AGV31" s="2"/>
      <c r="AGW31" s="2"/>
      <c r="AGX31" s="2"/>
      <c r="AGY31" s="2"/>
      <c r="AGZ31" s="2"/>
      <c r="AHA31" s="2"/>
      <c r="AHB31" s="2"/>
      <c r="AHC31" s="2"/>
      <c r="AHD31" s="2"/>
      <c r="AHE31" s="2"/>
      <c r="AHF31" s="2"/>
      <c r="AHG31" s="2"/>
      <c r="AHH31" s="2"/>
      <c r="AHI31" s="2"/>
      <c r="AHJ31" s="2"/>
      <c r="AHK31" s="2"/>
      <c r="AHL31" s="2"/>
      <c r="AHM31" s="2"/>
      <c r="AHN31" s="2"/>
      <c r="AHO31" s="2"/>
      <c r="AHP31" s="2"/>
      <c r="AHQ31" s="2"/>
      <c r="AHR31" s="2"/>
      <c r="AHS31" s="2"/>
      <c r="AHT31" s="2"/>
      <c r="AHU31" s="2"/>
      <c r="AHV31" s="2"/>
      <c r="AHW31" s="2"/>
      <c r="AHX31" s="2"/>
      <c r="AHY31" s="2"/>
      <c r="AHZ31" s="2"/>
      <c r="AIA31" s="2"/>
      <c r="AIB31" s="2"/>
      <c r="AIC31" s="2"/>
      <c r="AID31" s="2"/>
      <c r="AIE31" s="2"/>
      <c r="AIF31" s="2"/>
      <c r="AIG31" s="2"/>
      <c r="AIH31" s="2"/>
      <c r="AII31" s="2"/>
      <c r="AIJ31" s="2"/>
      <c r="AIK31" s="2"/>
      <c r="AIL31" s="2"/>
      <c r="AIM31" s="2"/>
      <c r="AIN31" s="2"/>
      <c r="AIO31" s="2"/>
      <c r="AIP31" s="2"/>
      <c r="AIQ31" s="2"/>
      <c r="AIR31" s="2"/>
      <c r="AIS31" s="2"/>
      <c r="AIT31" s="2"/>
      <c r="AIU31" s="2"/>
      <c r="AIV31" s="2"/>
      <c r="AIW31" s="2"/>
      <c r="AIX31" s="2"/>
      <c r="AIY31" s="2"/>
      <c r="AIZ31" s="2"/>
      <c r="AJA31" s="2"/>
      <c r="AJB31" s="2"/>
      <c r="AJC31" s="2"/>
      <c r="AJD31" s="2"/>
      <c r="AJE31" s="2"/>
      <c r="AJF31" s="2"/>
      <c r="AJG31" s="2"/>
      <c r="AJH31" s="2"/>
      <c r="AJI31" s="2"/>
      <c r="AJJ31" s="2"/>
      <c r="AJK31" s="2"/>
      <c r="AJL31" s="2"/>
      <c r="AJM31" s="2"/>
      <c r="AJN31" s="2"/>
      <c r="AJO31" s="2"/>
      <c r="AJP31" s="2"/>
      <c r="AJQ31" s="2"/>
      <c r="AJR31" s="2"/>
      <c r="AJS31" s="2"/>
      <c r="AJT31" s="2"/>
      <c r="AJU31" s="2"/>
      <c r="AJV31" s="2"/>
      <c r="AJW31" s="2"/>
      <c r="AJX31" s="2"/>
      <c r="AJY31" s="2"/>
      <c r="AJZ31" s="2"/>
      <c r="AKA31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Delovni listi</vt:lpstr>
      </vt:variant>
      <vt:variant>
        <vt:i4>3</vt:i4>
      </vt:variant>
    </vt:vector>
  </HeadingPairs>
  <TitlesOfParts>
    <vt:vector size="3" baseType="lpstr">
      <vt:lpstr>Control group</vt:lpstr>
      <vt:lpstr>IRIS 1+2</vt:lpstr>
      <vt:lpstr>IRIS 3+4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Krofič Žel, Martina</dc:creator>
  <cp:lastModifiedBy>Pavlin, Darja</cp:lastModifiedBy>
  <dcterms:created xsi:type="dcterms:W3CDTF">2024-05-07T05:18:29Z</dcterms:created>
  <dcterms:modified xsi:type="dcterms:W3CDTF">2024-06-17T12:23:02Z</dcterms:modified>
</cp:coreProperties>
</file>